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6EC38112-7DE6-4882-A040-7AF861C09095}" xr6:coauthVersionLast="47" xr6:coauthVersionMax="47" xr10:uidLastSave="{00000000-0000-0000-0000-000000000000}"/>
  <bookViews>
    <workbookView xWindow="-120" yWindow="-120" windowWidth="20730" windowHeight="11160" firstSheet="4" activeTab="6" xr2:uid="{00000000-000D-0000-FFFF-FFFF00000000}"/>
  </bookViews>
  <sheets>
    <sheet name="LENGUA ESPAÑOLA" sheetId="1" r:id="rId1"/>
    <sheet name="MATEMÁTICA" sheetId="2" r:id="rId2"/>
    <sheet name="CIENCIAS SOCIALES" sheetId="3" r:id="rId3"/>
    <sheet name="CIENCIAS NATURALES" sheetId="4" r:id="rId4"/>
    <sheet name="EDUCACIÓN FÍSICA" sheetId="5" r:id="rId5"/>
    <sheet name="FORMACIÓN HUMANA" sheetId="6" r:id="rId6"/>
    <sheet name="EDUCACIÓN ARTÍSTICA" sheetId="7" r:id="rId7"/>
    <sheet name="Dat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" i="7" l="1"/>
  <c r="Q36" i="7"/>
  <c r="P36" i="7"/>
  <c r="O36" i="7"/>
  <c r="R35" i="7"/>
  <c r="Q35" i="7"/>
  <c r="P35" i="7"/>
  <c r="O35" i="7"/>
  <c r="R34" i="7"/>
  <c r="Q34" i="7"/>
  <c r="P34" i="7"/>
  <c r="O34" i="7"/>
  <c r="R33" i="7"/>
  <c r="Q33" i="7"/>
  <c r="P33" i="7"/>
  <c r="O33" i="7"/>
  <c r="R32" i="7"/>
  <c r="Q32" i="7"/>
  <c r="P32" i="7"/>
  <c r="O32" i="7"/>
  <c r="R31" i="7"/>
  <c r="Q31" i="7"/>
  <c r="P31" i="7"/>
  <c r="O31" i="7"/>
  <c r="R30" i="7"/>
  <c r="Q30" i="7"/>
  <c r="P30" i="7"/>
  <c r="O30" i="7"/>
  <c r="R29" i="7"/>
  <c r="Q29" i="7"/>
  <c r="P29" i="7"/>
  <c r="O29" i="7"/>
  <c r="R28" i="7"/>
  <c r="Q28" i="7"/>
  <c r="P28" i="7"/>
  <c r="O28" i="7"/>
  <c r="R27" i="7"/>
  <c r="Q27" i="7"/>
  <c r="P27" i="7"/>
  <c r="O27" i="7"/>
  <c r="R26" i="7"/>
  <c r="Q26" i="7"/>
  <c r="P26" i="7"/>
  <c r="O26" i="7"/>
  <c r="R25" i="7"/>
  <c r="Q25" i="7"/>
  <c r="P25" i="7"/>
  <c r="O25" i="7"/>
  <c r="R24" i="7"/>
  <c r="Q24" i="7"/>
  <c r="P24" i="7"/>
  <c r="O24" i="7"/>
  <c r="R23" i="7"/>
  <c r="Q23" i="7"/>
  <c r="P23" i="7"/>
  <c r="O23" i="7"/>
  <c r="R22" i="7"/>
  <c r="Q22" i="7"/>
  <c r="P22" i="7"/>
  <c r="O22" i="7"/>
  <c r="R21" i="7"/>
  <c r="Q21" i="7"/>
  <c r="P21" i="7"/>
  <c r="O21" i="7"/>
  <c r="R20" i="7"/>
  <c r="Q20" i="7"/>
  <c r="P20" i="7"/>
  <c r="O20" i="7"/>
  <c r="R19" i="7"/>
  <c r="Q19" i="7"/>
  <c r="P19" i="7"/>
  <c r="O19" i="7"/>
  <c r="R18" i="7"/>
  <c r="Q18" i="7"/>
  <c r="P18" i="7"/>
  <c r="O18" i="7"/>
  <c r="R17" i="7"/>
  <c r="Q17" i="7"/>
  <c r="P17" i="7"/>
  <c r="O17" i="7"/>
  <c r="R16" i="7"/>
  <c r="Q16" i="7"/>
  <c r="P16" i="7"/>
  <c r="O16" i="7"/>
  <c r="R15" i="7"/>
  <c r="Q15" i="7"/>
  <c r="P15" i="7"/>
  <c r="O15" i="7"/>
  <c r="R14" i="7"/>
  <c r="Q14" i="7"/>
  <c r="P14" i="7"/>
  <c r="O14" i="7"/>
  <c r="R13" i="7"/>
  <c r="Q13" i="7"/>
  <c r="P13" i="7"/>
  <c r="O13" i="7"/>
  <c r="R12" i="7"/>
  <c r="Q12" i="7"/>
  <c r="P12" i="7"/>
  <c r="O12" i="7"/>
  <c r="R11" i="7"/>
  <c r="Q11" i="7"/>
  <c r="P11" i="7"/>
  <c r="O11" i="7"/>
  <c r="R10" i="7"/>
  <c r="Q10" i="7"/>
  <c r="P10" i="7"/>
  <c r="O10" i="7"/>
  <c r="R9" i="7"/>
  <c r="Q9" i="7"/>
  <c r="P9" i="7"/>
  <c r="O9" i="7"/>
  <c r="Q8" i="7"/>
  <c r="P8" i="7"/>
  <c r="O8" i="7"/>
  <c r="R8" i="7" s="1"/>
  <c r="R36" i="6"/>
  <c r="Q36" i="6"/>
  <c r="P36" i="6"/>
  <c r="O36" i="6"/>
  <c r="R35" i="6"/>
  <c r="Q35" i="6"/>
  <c r="P35" i="6"/>
  <c r="O35" i="6"/>
  <c r="R34" i="6"/>
  <c r="Q34" i="6"/>
  <c r="P34" i="6"/>
  <c r="O34" i="6"/>
  <c r="R33" i="6"/>
  <c r="Q33" i="6"/>
  <c r="P33" i="6"/>
  <c r="O33" i="6"/>
  <c r="R32" i="6"/>
  <c r="Q32" i="6"/>
  <c r="P32" i="6"/>
  <c r="O32" i="6"/>
  <c r="R31" i="6"/>
  <c r="Q31" i="6"/>
  <c r="P31" i="6"/>
  <c r="O31" i="6"/>
  <c r="R30" i="6"/>
  <c r="Q30" i="6"/>
  <c r="P30" i="6"/>
  <c r="O30" i="6"/>
  <c r="R29" i="6"/>
  <c r="Q29" i="6"/>
  <c r="P29" i="6"/>
  <c r="O29" i="6"/>
  <c r="R28" i="6"/>
  <c r="Q28" i="6"/>
  <c r="P28" i="6"/>
  <c r="O28" i="6"/>
  <c r="R27" i="6"/>
  <c r="Q27" i="6"/>
  <c r="P27" i="6"/>
  <c r="O27" i="6"/>
  <c r="R26" i="6"/>
  <c r="Q26" i="6"/>
  <c r="P26" i="6"/>
  <c r="O26" i="6"/>
  <c r="R25" i="6"/>
  <c r="Q25" i="6"/>
  <c r="P25" i="6"/>
  <c r="O25" i="6"/>
  <c r="R24" i="6"/>
  <c r="Q24" i="6"/>
  <c r="P24" i="6"/>
  <c r="O24" i="6"/>
  <c r="R23" i="6"/>
  <c r="Q23" i="6"/>
  <c r="P23" i="6"/>
  <c r="O23" i="6"/>
  <c r="R22" i="6"/>
  <c r="Q22" i="6"/>
  <c r="P22" i="6"/>
  <c r="O22" i="6"/>
  <c r="R21" i="6"/>
  <c r="Q21" i="6"/>
  <c r="P21" i="6"/>
  <c r="O21" i="6"/>
  <c r="R20" i="6"/>
  <c r="Q20" i="6"/>
  <c r="P20" i="6"/>
  <c r="O20" i="6"/>
  <c r="R19" i="6"/>
  <c r="Q19" i="6"/>
  <c r="P19" i="6"/>
  <c r="O19" i="6"/>
  <c r="R18" i="6"/>
  <c r="Q18" i="6"/>
  <c r="P18" i="6"/>
  <c r="O18" i="6"/>
  <c r="R17" i="6"/>
  <c r="Q17" i="6"/>
  <c r="P17" i="6"/>
  <c r="O17" i="6"/>
  <c r="R16" i="6"/>
  <c r="Q16" i="6"/>
  <c r="P16" i="6"/>
  <c r="O16" i="6"/>
  <c r="R15" i="6"/>
  <c r="Q15" i="6"/>
  <c r="P15" i="6"/>
  <c r="O15" i="6"/>
  <c r="R14" i="6"/>
  <c r="Q14" i="6"/>
  <c r="P14" i="6"/>
  <c r="O14" i="6"/>
  <c r="R13" i="6"/>
  <c r="Q13" i="6"/>
  <c r="P13" i="6"/>
  <c r="O13" i="6"/>
  <c r="R12" i="6"/>
  <c r="Q12" i="6"/>
  <c r="P12" i="6"/>
  <c r="O12" i="6"/>
  <c r="R11" i="6"/>
  <c r="Q11" i="6"/>
  <c r="P11" i="6"/>
  <c r="O11" i="6"/>
  <c r="R10" i="6"/>
  <c r="Q10" i="6"/>
  <c r="P10" i="6"/>
  <c r="O10" i="6"/>
  <c r="R9" i="6"/>
  <c r="Q9" i="6"/>
  <c r="P9" i="6"/>
  <c r="O9" i="6"/>
  <c r="Q8" i="6"/>
  <c r="P8" i="6"/>
  <c r="O8" i="6"/>
  <c r="R8" i="6" s="1"/>
  <c r="R36" i="5"/>
  <c r="Q36" i="5"/>
  <c r="P36" i="5"/>
  <c r="O36" i="5"/>
  <c r="R35" i="5"/>
  <c r="Q35" i="5"/>
  <c r="P35" i="5"/>
  <c r="O35" i="5"/>
  <c r="R34" i="5"/>
  <c r="Q34" i="5"/>
  <c r="P34" i="5"/>
  <c r="O34" i="5"/>
  <c r="R33" i="5"/>
  <c r="Q33" i="5"/>
  <c r="P33" i="5"/>
  <c r="O33" i="5"/>
  <c r="R32" i="5"/>
  <c r="Q32" i="5"/>
  <c r="P32" i="5"/>
  <c r="O32" i="5"/>
  <c r="R31" i="5"/>
  <c r="Q31" i="5"/>
  <c r="P31" i="5"/>
  <c r="O31" i="5"/>
  <c r="R30" i="5"/>
  <c r="Q30" i="5"/>
  <c r="P30" i="5"/>
  <c r="O30" i="5"/>
  <c r="R29" i="5"/>
  <c r="Q29" i="5"/>
  <c r="P29" i="5"/>
  <c r="O29" i="5"/>
  <c r="R28" i="5"/>
  <c r="Q28" i="5"/>
  <c r="P28" i="5"/>
  <c r="O28" i="5"/>
  <c r="R27" i="5"/>
  <c r="Q27" i="5"/>
  <c r="P27" i="5"/>
  <c r="O27" i="5"/>
  <c r="R26" i="5"/>
  <c r="Q26" i="5"/>
  <c r="P26" i="5"/>
  <c r="O26" i="5"/>
  <c r="R25" i="5"/>
  <c r="Q25" i="5"/>
  <c r="P25" i="5"/>
  <c r="O25" i="5"/>
  <c r="R24" i="5"/>
  <c r="Q24" i="5"/>
  <c r="P24" i="5"/>
  <c r="O24" i="5"/>
  <c r="R23" i="5"/>
  <c r="Q23" i="5"/>
  <c r="P23" i="5"/>
  <c r="O23" i="5"/>
  <c r="R22" i="5"/>
  <c r="Q22" i="5"/>
  <c r="P22" i="5"/>
  <c r="O22" i="5"/>
  <c r="R21" i="5"/>
  <c r="Q21" i="5"/>
  <c r="P21" i="5"/>
  <c r="O21" i="5"/>
  <c r="R20" i="5"/>
  <c r="Q20" i="5"/>
  <c r="P20" i="5"/>
  <c r="O20" i="5"/>
  <c r="R19" i="5"/>
  <c r="Q19" i="5"/>
  <c r="P19" i="5"/>
  <c r="O19" i="5"/>
  <c r="R18" i="5"/>
  <c r="Q18" i="5"/>
  <c r="P18" i="5"/>
  <c r="O18" i="5"/>
  <c r="R17" i="5"/>
  <c r="Q17" i="5"/>
  <c r="P17" i="5"/>
  <c r="O17" i="5"/>
  <c r="R16" i="5"/>
  <c r="Q16" i="5"/>
  <c r="P16" i="5"/>
  <c r="O16" i="5"/>
  <c r="R15" i="5"/>
  <c r="Q15" i="5"/>
  <c r="P15" i="5"/>
  <c r="O15" i="5"/>
  <c r="R14" i="5"/>
  <c r="Q14" i="5"/>
  <c r="P14" i="5"/>
  <c r="O14" i="5"/>
  <c r="R13" i="5"/>
  <c r="Q13" i="5"/>
  <c r="P13" i="5"/>
  <c r="O13" i="5"/>
  <c r="R12" i="5"/>
  <c r="Q12" i="5"/>
  <c r="P12" i="5"/>
  <c r="O12" i="5"/>
  <c r="R11" i="5"/>
  <c r="Q11" i="5"/>
  <c r="P11" i="5"/>
  <c r="O11" i="5"/>
  <c r="R10" i="5"/>
  <c r="Q10" i="5"/>
  <c r="P10" i="5"/>
  <c r="O10" i="5"/>
  <c r="R9" i="5"/>
  <c r="Q9" i="5"/>
  <c r="P9" i="5"/>
  <c r="O9" i="5"/>
  <c r="Q8" i="5"/>
  <c r="P8" i="5"/>
  <c r="O8" i="5"/>
  <c r="R8" i="5" s="1"/>
  <c r="R36" i="4"/>
  <c r="Q36" i="4"/>
  <c r="P36" i="4"/>
  <c r="O36" i="4"/>
  <c r="R35" i="4"/>
  <c r="Q35" i="4"/>
  <c r="P35" i="4"/>
  <c r="O35" i="4"/>
  <c r="R34" i="4"/>
  <c r="Q34" i="4"/>
  <c r="P34" i="4"/>
  <c r="O34" i="4"/>
  <c r="R33" i="4"/>
  <c r="Q33" i="4"/>
  <c r="P33" i="4"/>
  <c r="O33" i="4"/>
  <c r="R32" i="4"/>
  <c r="Q32" i="4"/>
  <c r="P32" i="4"/>
  <c r="O32" i="4"/>
  <c r="R31" i="4"/>
  <c r="Q31" i="4"/>
  <c r="P31" i="4"/>
  <c r="O31" i="4"/>
  <c r="R30" i="4"/>
  <c r="Q30" i="4"/>
  <c r="P30" i="4"/>
  <c r="O30" i="4"/>
  <c r="R29" i="4"/>
  <c r="Q29" i="4"/>
  <c r="P29" i="4"/>
  <c r="O29" i="4"/>
  <c r="R28" i="4"/>
  <c r="Q28" i="4"/>
  <c r="P28" i="4"/>
  <c r="O28" i="4"/>
  <c r="R27" i="4"/>
  <c r="Q27" i="4"/>
  <c r="P27" i="4"/>
  <c r="O27" i="4"/>
  <c r="R26" i="4"/>
  <c r="Q26" i="4"/>
  <c r="P26" i="4"/>
  <c r="O26" i="4"/>
  <c r="R25" i="4"/>
  <c r="Q25" i="4"/>
  <c r="P25" i="4"/>
  <c r="O25" i="4"/>
  <c r="R24" i="4"/>
  <c r="Q24" i="4"/>
  <c r="P24" i="4"/>
  <c r="O24" i="4"/>
  <c r="R23" i="4"/>
  <c r="Q23" i="4"/>
  <c r="P23" i="4"/>
  <c r="O23" i="4"/>
  <c r="R22" i="4"/>
  <c r="Q22" i="4"/>
  <c r="P22" i="4"/>
  <c r="O22" i="4"/>
  <c r="R21" i="4"/>
  <c r="Q21" i="4"/>
  <c r="P21" i="4"/>
  <c r="O21" i="4"/>
  <c r="R20" i="4"/>
  <c r="Q20" i="4"/>
  <c r="P20" i="4"/>
  <c r="O20" i="4"/>
  <c r="R19" i="4"/>
  <c r="Q19" i="4"/>
  <c r="P19" i="4"/>
  <c r="O19" i="4"/>
  <c r="R18" i="4"/>
  <c r="Q18" i="4"/>
  <c r="P18" i="4"/>
  <c r="O18" i="4"/>
  <c r="R17" i="4"/>
  <c r="Q17" i="4"/>
  <c r="P17" i="4"/>
  <c r="O17" i="4"/>
  <c r="R16" i="4"/>
  <c r="Q16" i="4"/>
  <c r="P16" i="4"/>
  <c r="O16" i="4"/>
  <c r="R15" i="4"/>
  <c r="Q15" i="4"/>
  <c r="P15" i="4"/>
  <c r="O15" i="4"/>
  <c r="R14" i="4"/>
  <c r="Q14" i="4"/>
  <c r="P14" i="4"/>
  <c r="O14" i="4"/>
  <c r="R13" i="4"/>
  <c r="Q13" i="4"/>
  <c r="P13" i="4"/>
  <c r="O13" i="4"/>
  <c r="R12" i="4"/>
  <c r="Q12" i="4"/>
  <c r="P12" i="4"/>
  <c r="O12" i="4"/>
  <c r="R11" i="4"/>
  <c r="Q11" i="4"/>
  <c r="P11" i="4"/>
  <c r="O11" i="4"/>
  <c r="R10" i="4"/>
  <c r="Q10" i="4"/>
  <c r="P10" i="4"/>
  <c r="O10" i="4"/>
  <c r="R9" i="4"/>
  <c r="Q9" i="4"/>
  <c r="P9" i="4"/>
  <c r="O9" i="4"/>
  <c r="Q8" i="4"/>
  <c r="P8" i="4"/>
  <c r="O8" i="4"/>
  <c r="R36" i="3"/>
  <c r="Q36" i="3"/>
  <c r="P36" i="3"/>
  <c r="O36" i="3"/>
  <c r="R35" i="3"/>
  <c r="Q35" i="3"/>
  <c r="P35" i="3"/>
  <c r="O35" i="3"/>
  <c r="R34" i="3"/>
  <c r="Q34" i="3"/>
  <c r="P34" i="3"/>
  <c r="O34" i="3"/>
  <c r="R33" i="3"/>
  <c r="Q33" i="3"/>
  <c r="P33" i="3"/>
  <c r="O33" i="3"/>
  <c r="R32" i="3"/>
  <c r="Q32" i="3"/>
  <c r="P32" i="3"/>
  <c r="O32" i="3"/>
  <c r="R31" i="3"/>
  <c r="Q31" i="3"/>
  <c r="P31" i="3"/>
  <c r="O31" i="3"/>
  <c r="R30" i="3"/>
  <c r="Q30" i="3"/>
  <c r="P30" i="3"/>
  <c r="O30" i="3"/>
  <c r="R29" i="3"/>
  <c r="Q29" i="3"/>
  <c r="P29" i="3"/>
  <c r="O29" i="3"/>
  <c r="R28" i="3"/>
  <c r="Q28" i="3"/>
  <c r="P28" i="3"/>
  <c r="O28" i="3"/>
  <c r="R27" i="3"/>
  <c r="Q27" i="3"/>
  <c r="P27" i="3"/>
  <c r="O27" i="3"/>
  <c r="R26" i="3"/>
  <c r="Q26" i="3"/>
  <c r="P26" i="3"/>
  <c r="O26" i="3"/>
  <c r="R25" i="3"/>
  <c r="Q25" i="3"/>
  <c r="P25" i="3"/>
  <c r="O25" i="3"/>
  <c r="R24" i="3"/>
  <c r="Q24" i="3"/>
  <c r="P24" i="3"/>
  <c r="O24" i="3"/>
  <c r="R23" i="3"/>
  <c r="Q23" i="3"/>
  <c r="P23" i="3"/>
  <c r="O23" i="3"/>
  <c r="R22" i="3"/>
  <c r="Q22" i="3"/>
  <c r="P22" i="3"/>
  <c r="O22" i="3"/>
  <c r="R21" i="3"/>
  <c r="Q21" i="3"/>
  <c r="P21" i="3"/>
  <c r="O21" i="3"/>
  <c r="R20" i="3"/>
  <c r="Q20" i="3"/>
  <c r="P20" i="3"/>
  <c r="O20" i="3"/>
  <c r="R19" i="3"/>
  <c r="Q19" i="3"/>
  <c r="P19" i="3"/>
  <c r="O19" i="3"/>
  <c r="R18" i="3"/>
  <c r="Q18" i="3"/>
  <c r="P18" i="3"/>
  <c r="O18" i="3"/>
  <c r="R17" i="3"/>
  <c r="Q17" i="3"/>
  <c r="P17" i="3"/>
  <c r="O17" i="3"/>
  <c r="R16" i="3"/>
  <c r="Q16" i="3"/>
  <c r="P16" i="3"/>
  <c r="O16" i="3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R11" i="3"/>
  <c r="Q11" i="3"/>
  <c r="P11" i="3"/>
  <c r="O11" i="3"/>
  <c r="R10" i="3"/>
  <c r="Q10" i="3"/>
  <c r="P10" i="3"/>
  <c r="O10" i="3"/>
  <c r="R9" i="3"/>
  <c r="Q9" i="3"/>
  <c r="P9" i="3"/>
  <c r="O9" i="3"/>
  <c r="Q8" i="3"/>
  <c r="P8" i="3"/>
  <c r="O8" i="3"/>
  <c r="R36" i="2"/>
  <c r="Q36" i="2"/>
  <c r="P36" i="2"/>
  <c r="O36" i="2"/>
  <c r="R35" i="2"/>
  <c r="Q35" i="2"/>
  <c r="P35" i="2"/>
  <c r="O35" i="2"/>
  <c r="R34" i="2"/>
  <c r="Q34" i="2"/>
  <c r="P34" i="2"/>
  <c r="O34" i="2"/>
  <c r="R33" i="2"/>
  <c r="Q33" i="2"/>
  <c r="P33" i="2"/>
  <c r="O33" i="2"/>
  <c r="R32" i="2"/>
  <c r="Q32" i="2"/>
  <c r="P32" i="2"/>
  <c r="O32" i="2"/>
  <c r="R31" i="2"/>
  <c r="Q31" i="2"/>
  <c r="P31" i="2"/>
  <c r="O31" i="2"/>
  <c r="R30" i="2"/>
  <c r="Q30" i="2"/>
  <c r="P30" i="2"/>
  <c r="O30" i="2"/>
  <c r="R29" i="2"/>
  <c r="Q29" i="2"/>
  <c r="P29" i="2"/>
  <c r="O29" i="2"/>
  <c r="R28" i="2"/>
  <c r="Q28" i="2"/>
  <c r="P28" i="2"/>
  <c r="O28" i="2"/>
  <c r="R27" i="2"/>
  <c r="Q27" i="2"/>
  <c r="P27" i="2"/>
  <c r="O27" i="2"/>
  <c r="R26" i="2"/>
  <c r="Q26" i="2"/>
  <c r="P26" i="2"/>
  <c r="O26" i="2"/>
  <c r="R25" i="2"/>
  <c r="Q25" i="2"/>
  <c r="P25" i="2"/>
  <c r="O25" i="2"/>
  <c r="R24" i="2"/>
  <c r="Q24" i="2"/>
  <c r="P24" i="2"/>
  <c r="O24" i="2"/>
  <c r="R23" i="2"/>
  <c r="Q23" i="2"/>
  <c r="P23" i="2"/>
  <c r="O23" i="2"/>
  <c r="R22" i="2"/>
  <c r="Q22" i="2"/>
  <c r="P22" i="2"/>
  <c r="O22" i="2"/>
  <c r="R21" i="2"/>
  <c r="Q21" i="2"/>
  <c r="P21" i="2"/>
  <c r="O21" i="2"/>
  <c r="R20" i="2"/>
  <c r="Q20" i="2"/>
  <c r="P20" i="2"/>
  <c r="O20" i="2"/>
  <c r="R19" i="2"/>
  <c r="Q19" i="2"/>
  <c r="P19" i="2"/>
  <c r="O19" i="2"/>
  <c r="R18" i="2"/>
  <c r="Q18" i="2"/>
  <c r="P18" i="2"/>
  <c r="O18" i="2"/>
  <c r="R17" i="2"/>
  <c r="Q17" i="2"/>
  <c r="P17" i="2"/>
  <c r="O17" i="2"/>
  <c r="R16" i="2"/>
  <c r="Q16" i="2"/>
  <c r="P16" i="2"/>
  <c r="O16" i="2"/>
  <c r="R15" i="2"/>
  <c r="Q15" i="2"/>
  <c r="P15" i="2"/>
  <c r="O15" i="2"/>
  <c r="R14" i="2"/>
  <c r="Q14" i="2"/>
  <c r="P14" i="2"/>
  <c r="O14" i="2"/>
  <c r="R13" i="2"/>
  <c r="Q13" i="2"/>
  <c r="P13" i="2"/>
  <c r="O13" i="2"/>
  <c r="R12" i="2"/>
  <c r="Q12" i="2"/>
  <c r="P12" i="2"/>
  <c r="O12" i="2"/>
  <c r="R11" i="2"/>
  <c r="Q11" i="2"/>
  <c r="P11" i="2"/>
  <c r="O11" i="2"/>
  <c r="R10" i="2"/>
  <c r="Q10" i="2"/>
  <c r="P10" i="2"/>
  <c r="O10" i="2"/>
  <c r="R9" i="2"/>
  <c r="Q9" i="2"/>
  <c r="P9" i="2"/>
  <c r="O9" i="2"/>
  <c r="Q8" i="2"/>
  <c r="P8" i="2"/>
  <c r="O8" i="2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R22" i="1"/>
  <c r="Q22" i="1"/>
  <c r="P22" i="1"/>
  <c r="O22" i="1"/>
  <c r="R21" i="1"/>
  <c r="Q21" i="1"/>
  <c r="P21" i="1"/>
  <c r="O21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Q8" i="1"/>
  <c r="P8" i="1"/>
  <c r="O8" i="1"/>
  <c r="R8" i="4" l="1"/>
  <c r="R8" i="3"/>
  <c r="R8" i="2"/>
  <c r="R8" i="1"/>
</calcChain>
</file>

<file path=xl/sharedStrings.xml><?xml version="1.0" encoding="utf-8"?>
<sst xmlns="http://schemas.openxmlformats.org/spreadsheetml/2006/main" count="399" uniqueCount="83">
  <si>
    <t>Numero</t>
  </si>
  <si>
    <t xml:space="preserve">Nombre/Apellido </t>
  </si>
  <si>
    <t>Docente:  Sheila Peña
Años Escolar: 2025-2026
Grado: 3ro B Mat
Centro Educativo: Jose Bordas Valdez</t>
  </si>
  <si>
    <t xml:space="preserve">Final de área </t>
  </si>
  <si>
    <t xml:space="preserve">C1. comunicatica </t>
  </si>
  <si>
    <t>C2. Pensamiento Lógico, Creativo y Crítico</t>
  </si>
  <si>
    <t>C3. Ética y Ciudadana</t>
  </si>
  <si>
    <t>Promedio del área por C.</t>
  </si>
  <si>
    <t>P1</t>
  </si>
  <si>
    <t>R2</t>
  </si>
  <si>
    <t>R3</t>
  </si>
  <si>
    <t>R4</t>
  </si>
  <si>
    <t>P2</t>
  </si>
  <si>
    <t>P3</t>
  </si>
  <si>
    <t>P4</t>
  </si>
  <si>
    <t>C1</t>
  </si>
  <si>
    <t>C2</t>
  </si>
  <si>
    <t>C3</t>
  </si>
  <si>
    <t>Adiel Serrano Adames</t>
  </si>
  <si>
    <t>Advier Alexander Leonardo Garcia (Nuevo)</t>
  </si>
  <si>
    <t>Alaia Esther Montero Vallejo</t>
  </si>
  <si>
    <t>Alaia Isadora Peña Cuevas</t>
  </si>
  <si>
    <t>Beatriz Ledoux Francois</t>
  </si>
  <si>
    <t>Dani Manauri Batista Cuevas</t>
  </si>
  <si>
    <t>Darwin Adiel Silverio Hernandez</t>
  </si>
  <si>
    <t>Deyny Rychell Blanco Mariano</t>
  </si>
  <si>
    <t>Dienesys Nicole Colon Diaz</t>
  </si>
  <si>
    <t>Eilene Rodriguez Sosa</t>
  </si>
  <si>
    <t>Eric Chael Sanchez Rodriguez</t>
  </si>
  <si>
    <t>Freiny Zoe Garcia Diaz</t>
  </si>
  <si>
    <t>Genesy Michell Castro De Los Santos</t>
  </si>
  <si>
    <t>Ismaylin Michelle Perez Hechavarria (Nuevo)</t>
  </si>
  <si>
    <t>Jennifer Jaque Medina</t>
  </si>
  <si>
    <t>Jerinel Martino Valoy</t>
  </si>
  <si>
    <t>Jhoriel David Rivera Martinez</t>
  </si>
  <si>
    <t>Katherine Manzueta Manzueta (Repitente)</t>
  </si>
  <si>
    <t>Leean Sebastian Carvajal</t>
  </si>
  <si>
    <t>Mebelin Vanesa De Los Santos Ramon (Nuevo)</t>
  </si>
  <si>
    <t>Meivi Alisha Piña Suero (Nuevo)</t>
  </si>
  <si>
    <t>Nashley Fernanda Sanchez Garcia</t>
  </si>
  <si>
    <t>Noel Gabriel Gomez Tavarez</t>
  </si>
  <si>
    <t>Racheli Nicole Robles (Repitente)</t>
  </si>
  <si>
    <t>Ryan Radhames Encarnacion Alcequiez</t>
  </si>
  <si>
    <t>Sorianny Elizabeth Encarnacion Bonilla</t>
  </si>
  <si>
    <t>Yadiel Jose Asencio (Nuevo)</t>
  </si>
  <si>
    <t>Yunairis Estefani Medina (Nuevo)</t>
  </si>
  <si>
    <t>Zoe Valentina Martinez Muñoz</t>
  </si>
  <si>
    <t>ñ</t>
  </si>
  <si>
    <t xml:space="preserve">                                                                                                                                            </t>
  </si>
  <si>
    <t xml:space="preserve">Nombre </t>
  </si>
  <si>
    <t>ID</t>
  </si>
  <si>
    <t>Tanda</t>
  </si>
  <si>
    <t>Grado</t>
  </si>
  <si>
    <t>Centro Educativo</t>
  </si>
  <si>
    <r>
      <t xml:space="preserve">ADVIER ALEXANDER LEONARDO GARCIA </t>
    </r>
    <r>
      <rPr>
        <b/>
        <sz val="11"/>
        <color rgb="FF000000"/>
        <rFont val="Calibri"/>
        <family val="2"/>
      </rPr>
      <t>(NUEVO)</t>
    </r>
  </si>
  <si>
    <t>ALAIA ESTHER MONTERO VALLEJO</t>
  </si>
  <si>
    <t>ALAIA ISADORA PEÑA CUEVAS</t>
  </si>
  <si>
    <t>BEATRIZ LEDOUX FRANCOIS</t>
  </si>
  <si>
    <t>DANI MANAURI BATISTA CUEVAS</t>
  </si>
  <si>
    <t>DARWIN ADIEL SILVERIO HERNANDEZ</t>
  </si>
  <si>
    <t>DEYNY RYCHELL BLANCO MARIANO</t>
  </si>
  <si>
    <t>DIENESYS NICOLE COLON DIAZ</t>
  </si>
  <si>
    <t>EILENE RODRIGUEZ SOSA</t>
  </si>
  <si>
    <t>ERIC CHAEL SANCHEZ RODRIGUEZ</t>
  </si>
  <si>
    <t>FREINY ZOE GARCIA DIAZ</t>
  </si>
  <si>
    <t>GENESY MICHELL CASTRO DE LOS SANTOS</t>
  </si>
  <si>
    <r>
      <t xml:space="preserve">ISMAYLIN MICHELLE PEREZ HECHAVARRIA </t>
    </r>
    <r>
      <rPr>
        <b/>
        <sz val="11"/>
        <color rgb="FF000000"/>
        <rFont val="Calibri"/>
        <family val="2"/>
      </rPr>
      <t>(NUEVO)</t>
    </r>
  </si>
  <si>
    <t>JENNIFER JAQUE MEDINA</t>
  </si>
  <si>
    <t>JERINEL MARTINO VALOY</t>
  </si>
  <si>
    <t>JHORIEL DAVID RIVERA MARTIEZ</t>
  </si>
  <si>
    <t>LEEAN SEBASTIAN CARVAJAL</t>
  </si>
  <si>
    <r>
      <t>MEBELIN VANESA DE LOS SANTOS RAMON</t>
    </r>
    <r>
      <rPr>
        <b/>
        <sz val="11"/>
        <color rgb="FF000000"/>
        <rFont val="Calibri"/>
        <family val="2"/>
      </rPr>
      <t xml:space="preserve"> (NUEVO)</t>
    </r>
  </si>
  <si>
    <r>
      <t xml:space="preserve">MEIVI ALISHA PIÑA SUERO </t>
    </r>
    <r>
      <rPr>
        <b/>
        <sz val="11"/>
        <color rgb="FF000000"/>
        <rFont val="Calibri"/>
        <family val="2"/>
      </rPr>
      <t>(NUEVO)</t>
    </r>
  </si>
  <si>
    <t>NASHLEY FERNANDA SANCHEZ GARCIA</t>
  </si>
  <si>
    <t>NOEL GABREIL GOMEZ TAVAREZ</t>
  </si>
  <si>
    <r>
      <t>RACHELI NICOLE ROBLES</t>
    </r>
    <r>
      <rPr>
        <sz val="11"/>
        <color rgb="FFFF0000"/>
        <rFont val="Calibri"/>
        <family val="2"/>
      </rPr>
      <t xml:space="preserve"> (REPITENTE)</t>
    </r>
  </si>
  <si>
    <t>RYAN RADHAMES ENCARNACION ALCEQUIEZ</t>
  </si>
  <si>
    <t>SORIANNY ELIZABETH ENCARNACION BONILLA</t>
  </si>
  <si>
    <r>
      <t xml:space="preserve">YADIEL JOSE ASENCIO </t>
    </r>
    <r>
      <rPr>
        <b/>
        <sz val="11"/>
        <color rgb="FF000000"/>
        <rFont val="Calibri"/>
        <family val="2"/>
      </rPr>
      <t>(NUEVO)</t>
    </r>
  </si>
  <si>
    <r>
      <t xml:space="preserve">YUNAIRIS ESTEFANI MEDINA </t>
    </r>
    <r>
      <rPr>
        <b/>
        <sz val="11"/>
        <color rgb="FF000000"/>
        <rFont val="Calibri"/>
        <family val="2"/>
      </rPr>
      <t>(NUEVO)</t>
    </r>
  </si>
  <si>
    <t>ZOE VALENTINA MARTINEZ MUÑOZ</t>
  </si>
  <si>
    <t>ADIEL SERRANO ADAMES</t>
  </si>
  <si>
    <r>
      <t xml:space="preserve">KATHERINE MANZUETA MANZUETA </t>
    </r>
    <r>
      <rPr>
        <sz val="11"/>
        <color rgb="FFFF0000"/>
        <rFont val="Calibri"/>
        <family val="2"/>
      </rPr>
      <t>(REPITENTE)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</si>
</sst>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6"/>
      <color theme="1"/>
      <name val="Times New Roman"/>
    </font>
    <font>
      <b/>
      <sz val="12"/>
      <color theme="1"/>
      <name val="Times New Roman"/>
    </font>
    <font>
      <sz val="10"/>
      <name val="Arial"/>
    </font>
    <font>
      <sz val="11"/>
      <color theme="1"/>
      <name val="Aptos Narrow"/>
    </font>
    <font>
      <sz val="11"/>
      <color theme="1"/>
      <name val="Calibri"/>
    </font>
    <font>
      <b/>
      <sz val="12"/>
      <color rgb="FF000000"/>
      <name val="&quot;Times New Roman&quot;"/>
    </font>
    <font>
      <sz val="12"/>
      <color theme="1"/>
      <name val="Times New Roman"/>
    </font>
    <font>
      <sz val="11"/>
      <color theme="1"/>
      <name val="Arial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B8B8FF"/>
        <bgColor rgb="FFB8B8FF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6" fillId="7" borderId="17" xfId="0" applyFont="1" applyFill="1" applyBorder="1"/>
    <xf numFmtId="0" fontId="7" fillId="4" borderId="16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1" fontId="7" fillId="7" borderId="18" xfId="0" applyNumberFormat="1" applyFont="1" applyFill="1" applyBorder="1" applyAlignment="1">
      <alignment horizontal="center"/>
    </xf>
    <xf numFmtId="1" fontId="7" fillId="7" borderId="19" xfId="0" applyNumberFormat="1" applyFont="1" applyFill="1" applyBorder="1" applyAlignment="1">
      <alignment horizontal="center"/>
    </xf>
    <xf numFmtId="1" fontId="7" fillId="3" borderId="19" xfId="0" applyNumberFormat="1" applyFont="1" applyFill="1" applyBorder="1" applyAlignment="1">
      <alignment horizontal="center"/>
    </xf>
    <xf numFmtId="0" fontId="4" fillId="8" borderId="0" xfId="0" applyFont="1" applyFill="1"/>
    <xf numFmtId="0" fontId="5" fillId="9" borderId="16" xfId="0" applyFont="1" applyFill="1" applyBorder="1" applyAlignment="1">
      <alignment horizontal="center"/>
    </xf>
    <xf numFmtId="0" fontId="6" fillId="9" borderId="17" xfId="0" applyFont="1" applyFill="1" applyBorder="1"/>
    <xf numFmtId="0" fontId="7" fillId="9" borderId="16" xfId="0" applyFont="1" applyFill="1" applyBorder="1" applyAlignment="1">
      <alignment horizontal="center"/>
    </xf>
    <xf numFmtId="1" fontId="7" fillId="5" borderId="16" xfId="0" applyNumberFormat="1" applyFont="1" applyFill="1" applyBorder="1" applyAlignment="1">
      <alignment horizontal="center"/>
    </xf>
    <xf numFmtId="1" fontId="7" fillId="6" borderId="16" xfId="0" applyNumberFormat="1" applyFont="1" applyFill="1" applyBorder="1" applyAlignment="1">
      <alignment horizontal="center"/>
    </xf>
    <xf numFmtId="1" fontId="7" fillId="4" borderId="16" xfId="0" applyNumberFormat="1" applyFont="1" applyFill="1" applyBorder="1" applyAlignment="1">
      <alignment horizontal="center"/>
    </xf>
    <xf numFmtId="1" fontId="7" fillId="9" borderId="16" xfId="0" applyNumberFormat="1" applyFont="1" applyFill="1" applyBorder="1" applyAlignment="1">
      <alignment horizontal="center"/>
    </xf>
    <xf numFmtId="0" fontId="4" fillId="9" borderId="0" xfId="0" applyFont="1" applyFill="1"/>
    <xf numFmtId="0" fontId="8" fillId="0" borderId="0" xfId="0" applyFont="1"/>
    <xf numFmtId="0" fontId="5" fillId="10" borderId="16" xfId="0" applyFont="1" applyFill="1" applyBorder="1" applyAlignment="1">
      <alignment horizontal="center"/>
    </xf>
    <xf numFmtId="0" fontId="6" fillId="10" borderId="17" xfId="0" applyFont="1" applyFill="1" applyBorder="1"/>
    <xf numFmtId="1" fontId="7" fillId="10" borderId="16" xfId="0" applyNumberFormat="1" applyFont="1" applyFill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4" fillId="10" borderId="0" xfId="0" applyFont="1" applyFill="1"/>
    <xf numFmtId="0" fontId="0" fillId="0" borderId="0" xfId="0" applyAlignment="1">
      <alignment horizontal="center" vertical="center"/>
    </xf>
    <xf numFmtId="0" fontId="9" fillId="0" borderId="20" xfId="0" applyFont="1" applyBorder="1"/>
    <xf numFmtId="0" fontId="9" fillId="0" borderId="20" xfId="0" applyFont="1" applyBorder="1" applyAlignment="1">
      <alignment horizontal="left" wrapText="1"/>
    </xf>
    <xf numFmtId="0" fontId="9" fillId="0" borderId="20" xfId="0" applyFont="1" applyBorder="1" applyAlignment="1">
      <alignment horizontal="center" wrapText="1"/>
    </xf>
    <xf numFmtId="0" fontId="9" fillId="0" borderId="20" xfId="0" applyFont="1" applyBorder="1" applyAlignment="1">
      <alignment wrapText="1"/>
    </xf>
    <xf numFmtId="0" fontId="9" fillId="0" borderId="20" xfId="0" applyFont="1" applyBorder="1" applyAlignment="1">
      <alignment horizontal="center"/>
    </xf>
    <xf numFmtId="0" fontId="1" fillId="2" borderId="0" xfId="0" applyFont="1" applyFill="1" applyAlignment="1">
      <alignment horizontal="center" textRotation="90" wrapText="1"/>
    </xf>
    <xf numFmtId="0" fontId="0" fillId="0" borderId="0" xfId="0"/>
    <xf numFmtId="0" fontId="1" fillId="2" borderId="1" xfId="0" applyFont="1" applyFill="1" applyBorder="1" applyAlignment="1">
      <alignment horizontal="center" vertical="top" textRotation="45" wrapText="1"/>
    </xf>
    <xf numFmtId="0" fontId="3" fillId="0" borderId="5" xfId="0" applyFont="1" applyBorder="1"/>
    <xf numFmtId="0" fontId="3" fillId="0" borderId="11" xfId="0" applyFont="1" applyBorder="1"/>
    <xf numFmtId="0" fontId="2" fillId="3" borderId="1" xfId="0" applyFont="1" applyFill="1" applyBorder="1" applyAlignment="1">
      <alignment horizontal="center" textRotation="45"/>
    </xf>
    <xf numFmtId="0" fontId="2" fillId="7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6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3" fillId="0" borderId="6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8"/>
  <sheetViews>
    <sheetView topLeftCell="A2" workbookViewId="0">
      <pane xSplit="2" topLeftCell="C1" activePane="topRight" state="frozen"/>
      <selection pane="topRight" activeCell="D8" sqref="D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14" width="4.7109375" customWidth="1"/>
    <col min="15" max="17" width="5" customWidth="1"/>
    <col min="18" max="18" width="12.28515625" customWidth="1"/>
  </cols>
  <sheetData>
    <row r="1" spans="1:27" ht="15.75" customHeight="1">
      <c r="A1" s="40" t="s">
        <v>0</v>
      </c>
      <c r="B1" s="42" t="s">
        <v>1</v>
      </c>
      <c r="C1" s="55" t="s">
        <v>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5" t="s">
        <v>3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1"/>
      <c r="B2" s="43"/>
      <c r="C2" s="5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57"/>
      <c r="R2" s="43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41"/>
      <c r="B3" s="43"/>
      <c r="C3" s="56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7"/>
      <c r="R3" s="43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/>
      <c r="B4" s="43"/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43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/>
      <c r="B5" s="43"/>
      <c r="C5" s="54" t="s">
        <v>4</v>
      </c>
      <c r="D5" s="47"/>
      <c r="E5" s="47"/>
      <c r="F5" s="48"/>
      <c r="G5" s="53" t="s">
        <v>5</v>
      </c>
      <c r="H5" s="47"/>
      <c r="I5" s="47"/>
      <c r="J5" s="48"/>
      <c r="K5" s="52" t="s">
        <v>6</v>
      </c>
      <c r="L5" s="47"/>
      <c r="M5" s="47"/>
      <c r="N5" s="48"/>
      <c r="O5" s="46" t="s">
        <v>7</v>
      </c>
      <c r="P5" s="47"/>
      <c r="Q5" s="48"/>
      <c r="R5" s="43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41"/>
      <c r="B6" s="43"/>
      <c r="C6" s="49"/>
      <c r="D6" s="50"/>
      <c r="E6" s="50"/>
      <c r="F6" s="51"/>
      <c r="G6" s="49"/>
      <c r="H6" s="50"/>
      <c r="I6" s="50"/>
      <c r="J6" s="51"/>
      <c r="K6" s="49"/>
      <c r="L6" s="50"/>
      <c r="M6" s="50"/>
      <c r="N6" s="51"/>
      <c r="O6" s="49"/>
      <c r="P6" s="50"/>
      <c r="Q6" s="51"/>
      <c r="R6" s="43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41"/>
      <c r="B7" s="44"/>
      <c r="C7" s="2" t="s">
        <v>8</v>
      </c>
      <c r="D7" s="3" t="s">
        <v>9</v>
      </c>
      <c r="E7" s="4" t="s">
        <v>10</v>
      </c>
      <c r="F7" s="5" t="s">
        <v>11</v>
      </c>
      <c r="G7" s="6" t="s">
        <v>8</v>
      </c>
      <c r="H7" s="6" t="s">
        <v>12</v>
      </c>
      <c r="I7" s="6" t="s">
        <v>13</v>
      </c>
      <c r="J7" s="6" t="s">
        <v>14</v>
      </c>
      <c r="K7" s="7" t="s">
        <v>8</v>
      </c>
      <c r="L7" s="7" t="s">
        <v>12</v>
      </c>
      <c r="M7" s="7" t="s">
        <v>13</v>
      </c>
      <c r="N7" s="7" t="s">
        <v>14</v>
      </c>
      <c r="O7" s="8" t="s">
        <v>15</v>
      </c>
      <c r="P7" s="9" t="s">
        <v>16</v>
      </c>
      <c r="Q7" s="10" t="s">
        <v>17</v>
      </c>
      <c r="R7" s="44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1">
        <v>1</v>
      </c>
      <c r="B8" s="12" t="s">
        <v>18</v>
      </c>
      <c r="C8" s="13">
        <v>80</v>
      </c>
      <c r="D8" s="13">
        <v>82</v>
      </c>
      <c r="E8" s="13">
        <v>85</v>
      </c>
      <c r="F8" s="13">
        <v>89</v>
      </c>
      <c r="G8" s="14">
        <v>80</v>
      </c>
      <c r="H8" s="14">
        <v>82</v>
      </c>
      <c r="I8" s="14">
        <v>81</v>
      </c>
      <c r="J8" s="14">
        <v>88</v>
      </c>
      <c r="K8" s="15">
        <v>86</v>
      </c>
      <c r="L8" s="15">
        <v>89</v>
      </c>
      <c r="M8" s="15">
        <v>96</v>
      </c>
      <c r="N8" s="15">
        <v>88</v>
      </c>
      <c r="O8" s="16">
        <f t="shared" ref="O8:O36" si="0">(C8+D8+E8+F8)/4</f>
        <v>84</v>
      </c>
      <c r="P8" s="16">
        <f t="shared" ref="P8:P36" si="1">(G8+H8+I8+J8)/4</f>
        <v>82.75</v>
      </c>
      <c r="Q8" s="17">
        <f t="shared" ref="Q8:Q36" si="2">(K8+L8+M8+N8)/4</f>
        <v>89.75</v>
      </c>
      <c r="R8" s="18">
        <f t="shared" ref="R8:R36" si="3">SUM(O8:Q8)/3</f>
        <v>85.5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1">
        <v>2</v>
      </c>
      <c r="B9" s="12" t="s">
        <v>19</v>
      </c>
      <c r="C9" s="13">
        <v>62</v>
      </c>
      <c r="D9" s="13"/>
      <c r="E9" s="13"/>
      <c r="F9" s="13"/>
      <c r="G9" s="14">
        <v>62</v>
      </c>
      <c r="H9" s="14"/>
      <c r="I9" s="14"/>
      <c r="J9" s="14"/>
      <c r="K9" s="15">
        <v>64</v>
      </c>
      <c r="L9" s="15"/>
      <c r="M9" s="15"/>
      <c r="N9" s="15"/>
      <c r="O9" s="16">
        <f t="shared" si="0"/>
        <v>15.5</v>
      </c>
      <c r="P9" s="16">
        <f t="shared" si="1"/>
        <v>15.5</v>
      </c>
      <c r="Q9" s="17">
        <f t="shared" si="2"/>
        <v>16</v>
      </c>
      <c r="R9" s="18">
        <f t="shared" si="3"/>
        <v>15.666666666666666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1">
        <v>3</v>
      </c>
      <c r="B10" s="12" t="s">
        <v>20</v>
      </c>
      <c r="C10" s="13">
        <v>100</v>
      </c>
      <c r="D10" s="13"/>
      <c r="E10" s="13"/>
      <c r="F10" s="13"/>
      <c r="G10" s="14">
        <v>99</v>
      </c>
      <c r="H10" s="14"/>
      <c r="I10" s="14"/>
      <c r="J10" s="14"/>
      <c r="K10" s="15">
        <v>100</v>
      </c>
      <c r="L10" s="15"/>
      <c r="M10" s="15"/>
      <c r="N10" s="15"/>
      <c r="O10" s="16">
        <f t="shared" si="0"/>
        <v>25</v>
      </c>
      <c r="P10" s="16">
        <f t="shared" si="1"/>
        <v>24.75</v>
      </c>
      <c r="Q10" s="17">
        <f t="shared" si="2"/>
        <v>25</v>
      </c>
      <c r="R10" s="18">
        <f t="shared" si="3"/>
        <v>24.916666666666668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1">
        <v>4</v>
      </c>
      <c r="B11" s="12" t="s">
        <v>21</v>
      </c>
      <c r="C11" s="13">
        <v>80</v>
      </c>
      <c r="D11" s="13"/>
      <c r="E11" s="13"/>
      <c r="F11" s="13"/>
      <c r="G11" s="14">
        <v>80</v>
      </c>
      <c r="H11" s="14"/>
      <c r="I11" s="14"/>
      <c r="J11" s="14"/>
      <c r="K11" s="15">
        <v>83</v>
      </c>
      <c r="L11" s="15"/>
      <c r="M11" s="15"/>
      <c r="N11" s="15"/>
      <c r="O11" s="16">
        <f t="shared" si="0"/>
        <v>20</v>
      </c>
      <c r="P11" s="16">
        <f t="shared" si="1"/>
        <v>20</v>
      </c>
      <c r="Q11" s="17">
        <f t="shared" si="2"/>
        <v>20.75</v>
      </c>
      <c r="R11" s="18">
        <f t="shared" si="3"/>
        <v>20.25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1">
        <v>5</v>
      </c>
      <c r="B12" s="12" t="s">
        <v>22</v>
      </c>
      <c r="C12" s="13">
        <v>60</v>
      </c>
      <c r="D12" s="13"/>
      <c r="E12" s="13"/>
      <c r="F12" s="13"/>
      <c r="G12" s="14">
        <v>61</v>
      </c>
      <c r="H12" s="14"/>
      <c r="I12" s="14"/>
      <c r="J12" s="14"/>
      <c r="K12" s="15">
        <v>61</v>
      </c>
      <c r="L12" s="15"/>
      <c r="M12" s="15"/>
      <c r="N12" s="15"/>
      <c r="O12" s="16">
        <f t="shared" si="0"/>
        <v>15</v>
      </c>
      <c r="P12" s="16">
        <f t="shared" si="1"/>
        <v>15.25</v>
      </c>
      <c r="Q12" s="17">
        <f t="shared" si="2"/>
        <v>15.25</v>
      </c>
      <c r="R12" s="18">
        <f t="shared" si="3"/>
        <v>15.166666666666666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1">
        <v>6</v>
      </c>
      <c r="B13" s="12" t="s">
        <v>23</v>
      </c>
      <c r="C13" s="13">
        <v>61</v>
      </c>
      <c r="D13" s="13"/>
      <c r="E13" s="13"/>
      <c r="F13" s="13"/>
      <c r="G13" s="14">
        <v>60</v>
      </c>
      <c r="H13" s="14"/>
      <c r="I13" s="14"/>
      <c r="J13" s="14"/>
      <c r="K13" s="15">
        <v>60</v>
      </c>
      <c r="L13" s="15"/>
      <c r="M13" s="15"/>
      <c r="N13" s="15"/>
      <c r="O13" s="16">
        <f t="shared" si="0"/>
        <v>15.25</v>
      </c>
      <c r="P13" s="16">
        <f t="shared" si="1"/>
        <v>15</v>
      </c>
      <c r="Q13" s="17">
        <f t="shared" si="2"/>
        <v>15</v>
      </c>
      <c r="R13" s="18">
        <f t="shared" si="3"/>
        <v>15.083333333333334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>
        <v>7</v>
      </c>
      <c r="B14" s="12" t="s">
        <v>24</v>
      </c>
      <c r="C14" s="13">
        <v>84</v>
      </c>
      <c r="D14" s="13"/>
      <c r="E14" s="13"/>
      <c r="F14" s="13"/>
      <c r="G14" s="14">
        <v>86</v>
      </c>
      <c r="H14" s="14"/>
      <c r="I14" s="14"/>
      <c r="J14" s="14"/>
      <c r="K14" s="15">
        <v>86</v>
      </c>
      <c r="L14" s="15"/>
      <c r="M14" s="15"/>
      <c r="N14" s="15"/>
      <c r="O14" s="16">
        <f t="shared" si="0"/>
        <v>21</v>
      </c>
      <c r="P14" s="16">
        <f t="shared" si="1"/>
        <v>21.5</v>
      </c>
      <c r="Q14" s="17">
        <f t="shared" si="2"/>
        <v>21.5</v>
      </c>
      <c r="R14" s="18">
        <f t="shared" si="3"/>
        <v>21.333333333333332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1">
        <v>8</v>
      </c>
      <c r="B15" s="12" t="s">
        <v>25</v>
      </c>
      <c r="C15" s="13">
        <v>62</v>
      </c>
      <c r="D15" s="13"/>
      <c r="E15" s="13"/>
      <c r="F15" s="13"/>
      <c r="G15" s="14">
        <v>62</v>
      </c>
      <c r="H15" s="14"/>
      <c r="I15" s="14"/>
      <c r="J15" s="14"/>
      <c r="K15" s="15">
        <v>63</v>
      </c>
      <c r="L15" s="15"/>
      <c r="M15" s="15"/>
      <c r="N15" s="15"/>
      <c r="O15" s="16">
        <f t="shared" si="0"/>
        <v>15.5</v>
      </c>
      <c r="P15" s="16">
        <f t="shared" si="1"/>
        <v>15.5</v>
      </c>
      <c r="Q15" s="17">
        <f t="shared" si="2"/>
        <v>15.75</v>
      </c>
      <c r="R15" s="18">
        <f t="shared" si="3"/>
        <v>15.583333333333334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1">
        <v>9</v>
      </c>
      <c r="B16" s="12" t="s">
        <v>26</v>
      </c>
      <c r="C16" s="13">
        <v>90</v>
      </c>
      <c r="D16" s="13"/>
      <c r="E16" s="13"/>
      <c r="F16" s="13"/>
      <c r="G16" s="14">
        <v>90</v>
      </c>
      <c r="H16" s="14"/>
      <c r="I16" s="14"/>
      <c r="J16" s="14"/>
      <c r="K16" s="15">
        <v>90</v>
      </c>
      <c r="L16" s="15"/>
      <c r="M16" s="15"/>
      <c r="N16" s="15"/>
      <c r="O16" s="16">
        <f t="shared" si="0"/>
        <v>22.5</v>
      </c>
      <c r="P16" s="16">
        <f t="shared" si="1"/>
        <v>22.5</v>
      </c>
      <c r="Q16" s="17">
        <f t="shared" si="2"/>
        <v>22.5</v>
      </c>
      <c r="R16" s="18">
        <f t="shared" si="3"/>
        <v>22.5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1">
        <v>10</v>
      </c>
      <c r="B17" s="12" t="s">
        <v>27</v>
      </c>
      <c r="C17" s="13">
        <v>95</v>
      </c>
      <c r="D17" s="13"/>
      <c r="E17" s="13"/>
      <c r="F17" s="13"/>
      <c r="G17" s="14">
        <v>95</v>
      </c>
      <c r="H17" s="14"/>
      <c r="I17" s="14"/>
      <c r="J17" s="14"/>
      <c r="K17" s="15">
        <v>97</v>
      </c>
      <c r="L17" s="15"/>
      <c r="M17" s="15"/>
      <c r="N17" s="15"/>
      <c r="O17" s="16">
        <f t="shared" si="0"/>
        <v>23.75</v>
      </c>
      <c r="P17" s="16">
        <f t="shared" si="1"/>
        <v>23.75</v>
      </c>
      <c r="Q17" s="17">
        <f t="shared" si="2"/>
        <v>24.25</v>
      </c>
      <c r="R17" s="18">
        <f t="shared" si="3"/>
        <v>23.916666666666668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11">
        <v>11</v>
      </c>
      <c r="B18" s="12" t="s">
        <v>28</v>
      </c>
      <c r="C18" s="13">
        <v>90</v>
      </c>
      <c r="D18" s="13"/>
      <c r="E18" s="13"/>
      <c r="F18" s="13"/>
      <c r="G18" s="14">
        <v>90</v>
      </c>
      <c r="H18" s="14"/>
      <c r="I18" s="14"/>
      <c r="J18" s="14"/>
      <c r="K18" s="15">
        <v>91</v>
      </c>
      <c r="L18" s="15"/>
      <c r="M18" s="15"/>
      <c r="N18" s="15"/>
      <c r="O18" s="16">
        <f t="shared" si="0"/>
        <v>22.5</v>
      </c>
      <c r="P18" s="16">
        <f t="shared" si="1"/>
        <v>22.5</v>
      </c>
      <c r="Q18" s="17">
        <f t="shared" si="2"/>
        <v>22.75</v>
      </c>
      <c r="R18" s="18">
        <f t="shared" si="3"/>
        <v>22.583333333333332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1">
        <v>12</v>
      </c>
      <c r="B19" s="12" t="s">
        <v>29</v>
      </c>
      <c r="C19" s="13">
        <v>64</v>
      </c>
      <c r="D19" s="13"/>
      <c r="E19" s="13"/>
      <c r="F19" s="13"/>
      <c r="G19" s="14">
        <v>64</v>
      </c>
      <c r="H19" s="14"/>
      <c r="I19" s="14"/>
      <c r="J19" s="14"/>
      <c r="K19" s="15">
        <v>63</v>
      </c>
      <c r="L19" s="15"/>
      <c r="M19" s="15"/>
      <c r="N19" s="15"/>
      <c r="O19" s="16">
        <f t="shared" si="0"/>
        <v>16</v>
      </c>
      <c r="P19" s="16">
        <f t="shared" si="1"/>
        <v>16</v>
      </c>
      <c r="Q19" s="17">
        <f t="shared" si="2"/>
        <v>15.75</v>
      </c>
      <c r="R19" s="18">
        <f t="shared" si="3"/>
        <v>15.916666666666666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1">
        <v>13</v>
      </c>
      <c r="B20" s="12" t="s">
        <v>30</v>
      </c>
      <c r="C20" s="13">
        <v>94</v>
      </c>
      <c r="D20" s="13"/>
      <c r="E20" s="13"/>
      <c r="F20" s="13"/>
      <c r="G20" s="14">
        <v>93</v>
      </c>
      <c r="H20" s="14"/>
      <c r="I20" s="14"/>
      <c r="J20" s="14"/>
      <c r="K20" s="15">
        <v>92</v>
      </c>
      <c r="L20" s="15"/>
      <c r="M20" s="15"/>
      <c r="N20" s="15"/>
      <c r="O20" s="16">
        <f t="shared" si="0"/>
        <v>23.5</v>
      </c>
      <c r="P20" s="16">
        <f t="shared" si="1"/>
        <v>23.25</v>
      </c>
      <c r="Q20" s="17">
        <f t="shared" si="2"/>
        <v>23</v>
      </c>
      <c r="R20" s="18">
        <f t="shared" si="3"/>
        <v>23.25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1">
        <v>14</v>
      </c>
      <c r="B21" s="12" t="s">
        <v>31</v>
      </c>
      <c r="C21" s="13">
        <v>85</v>
      </c>
      <c r="D21" s="13"/>
      <c r="E21" s="13"/>
      <c r="F21" s="13"/>
      <c r="G21" s="14">
        <v>89</v>
      </c>
      <c r="H21" s="14"/>
      <c r="I21" s="14"/>
      <c r="J21" s="14"/>
      <c r="K21" s="15">
        <v>90</v>
      </c>
      <c r="L21" s="15"/>
      <c r="M21" s="15"/>
      <c r="N21" s="15"/>
      <c r="O21" s="16">
        <f t="shared" si="0"/>
        <v>21.25</v>
      </c>
      <c r="P21" s="16">
        <f t="shared" si="1"/>
        <v>22.25</v>
      </c>
      <c r="Q21" s="17">
        <f t="shared" si="2"/>
        <v>22.5</v>
      </c>
      <c r="R21" s="18">
        <f t="shared" si="3"/>
        <v>22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1">
        <v>15</v>
      </c>
      <c r="B22" s="12" t="s">
        <v>32</v>
      </c>
      <c r="C22" s="13">
        <v>81</v>
      </c>
      <c r="D22" s="13"/>
      <c r="E22" s="13"/>
      <c r="F22" s="13"/>
      <c r="G22" s="14">
        <v>82</v>
      </c>
      <c r="H22" s="14"/>
      <c r="I22" s="14"/>
      <c r="J22" s="14"/>
      <c r="K22" s="15">
        <v>84</v>
      </c>
      <c r="L22" s="15"/>
      <c r="M22" s="15"/>
      <c r="N22" s="15"/>
      <c r="O22" s="16">
        <f t="shared" si="0"/>
        <v>20.25</v>
      </c>
      <c r="P22" s="16">
        <f t="shared" si="1"/>
        <v>20.5</v>
      </c>
      <c r="Q22" s="17">
        <f t="shared" si="2"/>
        <v>21</v>
      </c>
      <c r="R22" s="18">
        <f t="shared" si="3"/>
        <v>20.583333333333332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1">
        <v>16</v>
      </c>
      <c r="B23" s="12" t="s">
        <v>33</v>
      </c>
      <c r="C23" s="13">
        <v>70</v>
      </c>
      <c r="D23" s="13"/>
      <c r="E23" s="13"/>
      <c r="F23" s="13"/>
      <c r="G23" s="14">
        <v>71</v>
      </c>
      <c r="H23" s="14"/>
      <c r="I23" s="14"/>
      <c r="J23" s="14"/>
      <c r="K23" s="15">
        <v>74</v>
      </c>
      <c r="L23" s="15"/>
      <c r="M23" s="15"/>
      <c r="N23" s="15"/>
      <c r="O23" s="16">
        <f t="shared" si="0"/>
        <v>17.5</v>
      </c>
      <c r="P23" s="16">
        <f t="shared" si="1"/>
        <v>17.75</v>
      </c>
      <c r="Q23" s="17">
        <f t="shared" si="2"/>
        <v>18.5</v>
      </c>
      <c r="R23" s="18">
        <f t="shared" si="3"/>
        <v>17.916666666666668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1">
        <v>17</v>
      </c>
      <c r="B24" s="12" t="s">
        <v>34</v>
      </c>
      <c r="C24" s="13">
        <v>88</v>
      </c>
      <c r="D24" s="13"/>
      <c r="E24" s="13"/>
      <c r="F24" s="13"/>
      <c r="G24" s="14">
        <v>88</v>
      </c>
      <c r="H24" s="14"/>
      <c r="I24" s="14"/>
      <c r="J24" s="14"/>
      <c r="K24" s="15">
        <v>89</v>
      </c>
      <c r="L24" s="15"/>
      <c r="M24" s="15"/>
      <c r="N24" s="15"/>
      <c r="O24" s="16">
        <f t="shared" si="0"/>
        <v>22</v>
      </c>
      <c r="P24" s="16">
        <f t="shared" si="1"/>
        <v>22</v>
      </c>
      <c r="Q24" s="17">
        <f t="shared" si="2"/>
        <v>22.25</v>
      </c>
      <c r="R24" s="18">
        <f t="shared" si="3"/>
        <v>22.083333333333332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0">
        <v>18</v>
      </c>
      <c r="B25" s="21" t="s">
        <v>35</v>
      </c>
      <c r="C25" s="22">
        <v>65</v>
      </c>
      <c r="D25" s="22"/>
      <c r="E25" s="22"/>
      <c r="F25" s="22"/>
      <c r="G25" s="22">
        <v>65</v>
      </c>
      <c r="H25" s="22"/>
      <c r="I25" s="22"/>
      <c r="J25" s="22"/>
      <c r="K25" s="22">
        <v>65</v>
      </c>
      <c r="L25" s="22"/>
      <c r="M25" s="22"/>
      <c r="N25" s="22"/>
      <c r="O25" s="16">
        <f t="shared" si="0"/>
        <v>16.25</v>
      </c>
      <c r="P25" s="16">
        <f t="shared" si="1"/>
        <v>16.25</v>
      </c>
      <c r="Q25" s="17">
        <f t="shared" si="2"/>
        <v>16.25</v>
      </c>
      <c r="R25" s="18">
        <f t="shared" si="3"/>
        <v>16.25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1">
        <v>19</v>
      </c>
      <c r="B26" s="12" t="s">
        <v>36</v>
      </c>
      <c r="C26" s="13">
        <v>90</v>
      </c>
      <c r="D26" s="13"/>
      <c r="E26" s="13"/>
      <c r="F26" s="13"/>
      <c r="G26" s="14">
        <v>92</v>
      </c>
      <c r="H26" s="14"/>
      <c r="I26" s="14"/>
      <c r="J26" s="14"/>
      <c r="K26" s="15">
        <v>93</v>
      </c>
      <c r="L26" s="15"/>
      <c r="M26" s="15"/>
      <c r="N26" s="15"/>
      <c r="O26" s="16">
        <f t="shared" si="0"/>
        <v>22.5</v>
      </c>
      <c r="P26" s="16">
        <f t="shared" si="1"/>
        <v>23</v>
      </c>
      <c r="Q26" s="17">
        <f t="shared" si="2"/>
        <v>23.25</v>
      </c>
      <c r="R26" s="18">
        <f t="shared" si="3"/>
        <v>22.916666666666668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1">
        <v>20</v>
      </c>
      <c r="B27" s="12" t="s">
        <v>37</v>
      </c>
      <c r="C27" s="13">
        <v>84</v>
      </c>
      <c r="D27" s="13"/>
      <c r="E27" s="13"/>
      <c r="F27" s="13"/>
      <c r="G27" s="14">
        <v>88</v>
      </c>
      <c r="H27" s="14"/>
      <c r="I27" s="14"/>
      <c r="J27" s="14"/>
      <c r="K27" s="15">
        <v>89</v>
      </c>
      <c r="L27" s="15"/>
      <c r="M27" s="15"/>
      <c r="N27" s="15"/>
      <c r="O27" s="16">
        <f t="shared" si="0"/>
        <v>21</v>
      </c>
      <c r="P27" s="16">
        <f t="shared" si="1"/>
        <v>22</v>
      </c>
      <c r="Q27" s="17">
        <f t="shared" si="2"/>
        <v>22.25</v>
      </c>
      <c r="R27" s="18">
        <f t="shared" si="3"/>
        <v>21.75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1">
        <v>21</v>
      </c>
      <c r="B28" s="12" t="s">
        <v>38</v>
      </c>
      <c r="C28" s="13">
        <v>89</v>
      </c>
      <c r="D28" s="13"/>
      <c r="E28" s="13"/>
      <c r="F28" s="13"/>
      <c r="G28" s="14">
        <v>89</v>
      </c>
      <c r="H28" s="14"/>
      <c r="I28" s="14"/>
      <c r="J28" s="14"/>
      <c r="K28" s="15">
        <v>90</v>
      </c>
      <c r="L28" s="15"/>
      <c r="M28" s="15"/>
      <c r="N28" s="15"/>
      <c r="O28" s="16">
        <f t="shared" si="0"/>
        <v>22.25</v>
      </c>
      <c r="P28" s="16">
        <f t="shared" si="1"/>
        <v>22.25</v>
      </c>
      <c r="Q28" s="17">
        <f t="shared" si="2"/>
        <v>22.5</v>
      </c>
      <c r="R28" s="18">
        <f t="shared" si="3"/>
        <v>22.333333333333332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1">
        <v>22</v>
      </c>
      <c r="B29" s="12" t="s">
        <v>39</v>
      </c>
      <c r="C29" s="13">
        <v>64</v>
      </c>
      <c r="D29" s="13"/>
      <c r="E29" s="13"/>
      <c r="F29" s="13"/>
      <c r="G29" s="14">
        <v>64</v>
      </c>
      <c r="H29" s="14"/>
      <c r="I29" s="14"/>
      <c r="J29" s="14"/>
      <c r="K29" s="15">
        <v>64</v>
      </c>
      <c r="L29" s="15"/>
      <c r="M29" s="15"/>
      <c r="N29" s="15"/>
      <c r="O29" s="16">
        <f t="shared" si="0"/>
        <v>16</v>
      </c>
      <c r="P29" s="16">
        <f t="shared" si="1"/>
        <v>16</v>
      </c>
      <c r="Q29" s="17">
        <f t="shared" si="2"/>
        <v>16</v>
      </c>
      <c r="R29" s="18">
        <f t="shared" si="3"/>
        <v>16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1">
        <v>23</v>
      </c>
      <c r="B30" s="12" t="s">
        <v>40</v>
      </c>
      <c r="C30" s="13">
        <v>63</v>
      </c>
      <c r="D30" s="13"/>
      <c r="E30" s="13"/>
      <c r="F30" s="13"/>
      <c r="G30" s="14">
        <v>62</v>
      </c>
      <c r="H30" s="14"/>
      <c r="I30" s="14"/>
      <c r="J30" s="14"/>
      <c r="K30" s="15">
        <v>63</v>
      </c>
      <c r="L30" s="15"/>
      <c r="M30" s="15"/>
      <c r="N30" s="15"/>
      <c r="O30" s="16">
        <f t="shared" si="0"/>
        <v>15.75</v>
      </c>
      <c r="P30" s="16">
        <f t="shared" si="1"/>
        <v>15.5</v>
      </c>
      <c r="Q30" s="17">
        <f t="shared" si="2"/>
        <v>15.75</v>
      </c>
      <c r="R30" s="18">
        <f t="shared" si="3"/>
        <v>15.666666666666666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1">
        <v>24</v>
      </c>
      <c r="B31" s="12" t="s">
        <v>41</v>
      </c>
      <c r="C31" s="13">
        <v>74</v>
      </c>
      <c r="D31" s="13"/>
      <c r="E31" s="13"/>
      <c r="F31" s="13"/>
      <c r="G31" s="14">
        <v>71</v>
      </c>
      <c r="H31" s="14"/>
      <c r="I31" s="14"/>
      <c r="J31" s="14"/>
      <c r="K31" s="15">
        <v>74</v>
      </c>
      <c r="L31" s="15"/>
      <c r="M31" s="15"/>
      <c r="N31" s="15"/>
      <c r="O31" s="16">
        <f t="shared" si="0"/>
        <v>18.5</v>
      </c>
      <c r="P31" s="16">
        <f t="shared" si="1"/>
        <v>17.75</v>
      </c>
      <c r="Q31" s="17">
        <f t="shared" si="2"/>
        <v>18.5</v>
      </c>
      <c r="R31" s="18">
        <f t="shared" si="3"/>
        <v>18.25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1">
        <v>25</v>
      </c>
      <c r="B32" s="12" t="s">
        <v>42</v>
      </c>
      <c r="C32" s="13">
        <v>89</v>
      </c>
      <c r="D32" s="13"/>
      <c r="E32" s="13"/>
      <c r="F32" s="13"/>
      <c r="G32" s="14">
        <v>88</v>
      </c>
      <c r="H32" s="14"/>
      <c r="I32" s="14"/>
      <c r="J32" s="14"/>
      <c r="K32" s="15">
        <v>89</v>
      </c>
      <c r="L32" s="15"/>
      <c r="M32" s="15"/>
      <c r="N32" s="15"/>
      <c r="O32" s="16">
        <f t="shared" si="0"/>
        <v>22.25</v>
      </c>
      <c r="P32" s="16">
        <f t="shared" si="1"/>
        <v>22</v>
      </c>
      <c r="Q32" s="17">
        <f t="shared" si="2"/>
        <v>22.25</v>
      </c>
      <c r="R32" s="18">
        <f t="shared" si="3"/>
        <v>22.166666666666668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1">
        <v>26</v>
      </c>
      <c r="B33" s="12" t="s">
        <v>43</v>
      </c>
      <c r="C33" s="13">
        <v>95</v>
      </c>
      <c r="D33" s="13"/>
      <c r="E33" s="13"/>
      <c r="F33" s="13"/>
      <c r="G33" s="14">
        <v>93</v>
      </c>
      <c r="H33" s="14"/>
      <c r="I33" s="14"/>
      <c r="J33" s="14"/>
      <c r="K33" s="15">
        <v>96</v>
      </c>
      <c r="L33" s="15"/>
      <c r="M33" s="15"/>
      <c r="N33" s="15"/>
      <c r="O33" s="16">
        <f t="shared" si="0"/>
        <v>23.75</v>
      </c>
      <c r="P33" s="16">
        <f t="shared" si="1"/>
        <v>23.25</v>
      </c>
      <c r="Q33" s="17">
        <f t="shared" si="2"/>
        <v>24</v>
      </c>
      <c r="R33" s="18">
        <f t="shared" si="3"/>
        <v>23.666666666666668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1">
        <v>27</v>
      </c>
      <c r="B34" s="12" t="s">
        <v>44</v>
      </c>
      <c r="C34" s="13">
        <v>88</v>
      </c>
      <c r="D34" s="13"/>
      <c r="E34" s="13"/>
      <c r="F34" s="13"/>
      <c r="G34" s="14">
        <v>87</v>
      </c>
      <c r="H34" s="14"/>
      <c r="I34" s="14"/>
      <c r="J34" s="14"/>
      <c r="K34" s="15">
        <v>90</v>
      </c>
      <c r="L34" s="15"/>
      <c r="M34" s="15"/>
      <c r="N34" s="15"/>
      <c r="O34" s="16">
        <f t="shared" si="0"/>
        <v>22</v>
      </c>
      <c r="P34" s="16">
        <f t="shared" si="1"/>
        <v>21.75</v>
      </c>
      <c r="Q34" s="17">
        <f t="shared" si="2"/>
        <v>22.5</v>
      </c>
      <c r="R34" s="18">
        <f t="shared" si="3"/>
        <v>22.083333333333332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1">
        <v>28</v>
      </c>
      <c r="B35" s="12" t="s">
        <v>45</v>
      </c>
      <c r="C35" s="13">
        <v>90</v>
      </c>
      <c r="D35" s="13"/>
      <c r="E35" s="13"/>
      <c r="F35" s="13"/>
      <c r="G35" s="14">
        <v>90</v>
      </c>
      <c r="H35" s="14"/>
      <c r="I35" s="14"/>
      <c r="J35" s="14"/>
      <c r="K35" s="15">
        <v>90</v>
      </c>
      <c r="L35" s="15"/>
      <c r="M35" s="15"/>
      <c r="N35" s="15"/>
      <c r="O35" s="16">
        <f t="shared" si="0"/>
        <v>22.5</v>
      </c>
      <c r="P35" s="16">
        <f t="shared" si="1"/>
        <v>22.5</v>
      </c>
      <c r="Q35" s="17">
        <f t="shared" si="2"/>
        <v>22.5</v>
      </c>
      <c r="R35" s="18">
        <f t="shared" si="3"/>
        <v>22.5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1">
        <v>29</v>
      </c>
      <c r="B36" s="12" t="s">
        <v>46</v>
      </c>
      <c r="C36" s="13">
        <v>84</v>
      </c>
      <c r="D36" s="13"/>
      <c r="E36" s="13"/>
      <c r="F36" s="13"/>
      <c r="G36" s="14">
        <v>82</v>
      </c>
      <c r="H36" s="14"/>
      <c r="I36" s="14"/>
      <c r="J36" s="14"/>
      <c r="K36" s="15">
        <v>84</v>
      </c>
      <c r="L36" s="15"/>
      <c r="M36" s="15"/>
      <c r="N36" s="15"/>
      <c r="O36" s="16">
        <f t="shared" si="0"/>
        <v>21</v>
      </c>
      <c r="P36" s="16">
        <f t="shared" si="1"/>
        <v>20.5</v>
      </c>
      <c r="Q36" s="17">
        <f t="shared" si="2"/>
        <v>21</v>
      </c>
      <c r="R36" s="18">
        <f t="shared" si="3"/>
        <v>20.833333333333332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1"/>
      <c r="E37" s="1"/>
    </row>
    <row r="38" spans="1:27" ht="15">
      <c r="A38" s="1"/>
      <c r="B38" s="1"/>
      <c r="C38" s="1"/>
      <c r="D38" s="1"/>
      <c r="E38" s="1"/>
    </row>
    <row r="39" spans="1:27" ht="15">
      <c r="A39" s="1"/>
      <c r="B39" s="1"/>
      <c r="C39" s="1"/>
      <c r="D39" s="1"/>
      <c r="E39" s="1"/>
    </row>
    <row r="40" spans="1:27" ht="15">
      <c r="A40" s="1"/>
      <c r="B40" s="1"/>
      <c r="C40" s="1"/>
      <c r="D40" s="1"/>
      <c r="E40" s="1"/>
    </row>
    <row r="41" spans="1:27" ht="15">
      <c r="A41" s="1"/>
      <c r="B41" s="1"/>
      <c r="C41" s="1"/>
      <c r="D41" s="1"/>
      <c r="E41" s="1"/>
    </row>
    <row r="42" spans="1:27" ht="15">
      <c r="A42" s="1"/>
      <c r="B42" s="1"/>
      <c r="C42" s="1"/>
      <c r="D42" s="1"/>
      <c r="E42" s="1"/>
    </row>
    <row r="43" spans="1:27" ht="15">
      <c r="A43" s="1"/>
      <c r="B43" s="1"/>
      <c r="C43" s="1"/>
      <c r="D43" s="1"/>
      <c r="E43" s="1"/>
    </row>
    <row r="44" spans="1:27" ht="15">
      <c r="A44" s="1"/>
      <c r="B44" s="1"/>
      <c r="C44" s="1"/>
      <c r="D44" s="1"/>
      <c r="E44" s="1"/>
    </row>
    <row r="45" spans="1:27" ht="15">
      <c r="A45" s="1"/>
      <c r="B45" s="1"/>
      <c r="C45" s="1"/>
      <c r="D45" s="1"/>
      <c r="E45" s="1"/>
    </row>
    <row r="46" spans="1:27" ht="15">
      <c r="A46" s="1"/>
      <c r="B46" s="1"/>
      <c r="C46" s="1"/>
      <c r="D46" s="1"/>
      <c r="E46" s="1"/>
    </row>
    <row r="47" spans="1:27" ht="15">
      <c r="A47" s="1"/>
      <c r="B47" s="1"/>
      <c r="C47" s="1"/>
      <c r="D47" s="1"/>
      <c r="E47" s="1"/>
    </row>
    <row r="48" spans="1:27" ht="15">
      <c r="A48" s="1"/>
      <c r="B48" s="1"/>
      <c r="C48" s="1"/>
      <c r="D48" s="1"/>
      <c r="E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8">
    <mergeCell ref="A1:A7"/>
    <mergeCell ref="B1:B7"/>
    <mergeCell ref="R1:R7"/>
    <mergeCell ref="O5:Q6"/>
    <mergeCell ref="K5:N6"/>
    <mergeCell ref="G5:J6"/>
    <mergeCell ref="C5:F6"/>
    <mergeCell ref="C1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8"/>
  <sheetViews>
    <sheetView workbookViewId="0">
      <pane xSplit="2" topLeftCell="C1" activePane="topRight" state="frozen"/>
      <selection pane="topRight" activeCell="L8" sqref="L8:N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14" width="4.7109375" customWidth="1"/>
    <col min="15" max="17" width="7.85546875" customWidth="1"/>
    <col min="18" max="18" width="12.28515625" customWidth="1"/>
  </cols>
  <sheetData>
    <row r="1" spans="1:27" ht="15.75" customHeight="1">
      <c r="A1" s="40" t="s">
        <v>0</v>
      </c>
      <c r="B1" s="42" t="s">
        <v>1</v>
      </c>
      <c r="C1" s="55" t="s">
        <v>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5" t="s">
        <v>3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1"/>
      <c r="B2" s="43"/>
      <c r="C2" s="5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57"/>
      <c r="R2" s="43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41"/>
      <c r="B3" s="43"/>
      <c r="C3" s="56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7"/>
      <c r="R3" s="43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/>
      <c r="B4" s="43"/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43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/>
      <c r="B5" s="43"/>
      <c r="C5" s="54" t="s">
        <v>4</v>
      </c>
      <c r="D5" s="47"/>
      <c r="E5" s="47"/>
      <c r="F5" s="48"/>
      <c r="G5" s="53" t="s">
        <v>5</v>
      </c>
      <c r="H5" s="47"/>
      <c r="I5" s="47"/>
      <c r="J5" s="48"/>
      <c r="K5" s="52" t="s">
        <v>6</v>
      </c>
      <c r="L5" s="47"/>
      <c r="M5" s="47"/>
      <c r="N5" s="48"/>
      <c r="O5" s="46" t="s">
        <v>7</v>
      </c>
      <c r="P5" s="47"/>
      <c r="Q5" s="48"/>
      <c r="R5" s="43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41"/>
      <c r="B6" s="43"/>
      <c r="C6" s="49"/>
      <c r="D6" s="50"/>
      <c r="E6" s="50"/>
      <c r="F6" s="51"/>
      <c r="G6" s="49"/>
      <c r="H6" s="50"/>
      <c r="I6" s="50"/>
      <c r="J6" s="51"/>
      <c r="K6" s="49"/>
      <c r="L6" s="50"/>
      <c r="M6" s="50"/>
      <c r="N6" s="51"/>
      <c r="O6" s="49"/>
      <c r="P6" s="50"/>
      <c r="Q6" s="51"/>
      <c r="R6" s="43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41"/>
      <c r="B7" s="44"/>
      <c r="C7" s="2" t="s">
        <v>8</v>
      </c>
      <c r="D7" s="3" t="s">
        <v>12</v>
      </c>
      <c r="E7" s="3" t="s">
        <v>13</v>
      </c>
      <c r="F7" s="5" t="s">
        <v>14</v>
      </c>
      <c r="G7" s="6" t="s">
        <v>8</v>
      </c>
      <c r="H7" s="6" t="s">
        <v>12</v>
      </c>
      <c r="I7" s="6" t="s">
        <v>13</v>
      </c>
      <c r="J7" s="6" t="s">
        <v>14</v>
      </c>
      <c r="K7" s="7" t="s">
        <v>8</v>
      </c>
      <c r="L7" s="7" t="s">
        <v>12</v>
      </c>
      <c r="M7" s="7" t="s">
        <v>13</v>
      </c>
      <c r="N7" s="7" t="s">
        <v>14</v>
      </c>
      <c r="O7" s="8" t="s">
        <v>15</v>
      </c>
      <c r="P7" s="9" t="s">
        <v>16</v>
      </c>
      <c r="Q7" s="10" t="s">
        <v>17</v>
      </c>
      <c r="R7" s="44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1">
        <v>1</v>
      </c>
      <c r="B8" s="12" t="s">
        <v>18</v>
      </c>
      <c r="C8" s="13">
        <v>84</v>
      </c>
      <c r="D8" s="13">
        <v>82</v>
      </c>
      <c r="E8" s="13">
        <v>85</v>
      </c>
      <c r="F8" s="13">
        <v>89</v>
      </c>
      <c r="G8" s="23">
        <v>84.5</v>
      </c>
      <c r="H8" s="14">
        <v>82</v>
      </c>
      <c r="I8" s="14">
        <v>85</v>
      </c>
      <c r="J8" s="14">
        <v>89</v>
      </c>
      <c r="K8" s="24">
        <v>87.6</v>
      </c>
      <c r="L8" s="15">
        <v>82</v>
      </c>
      <c r="M8" s="15">
        <v>85</v>
      </c>
      <c r="N8" s="15">
        <v>89</v>
      </c>
      <c r="O8" s="16">
        <f t="shared" ref="O8:O36" si="0">(C8+D8+E8+F8)/4</f>
        <v>85</v>
      </c>
      <c r="P8" s="16">
        <f t="shared" ref="P8:P36" si="1">(G8+H8+I8+J8)/4</f>
        <v>85.125</v>
      </c>
      <c r="Q8" s="17">
        <f t="shared" ref="Q8:Q36" si="2">(K8+L8+M8+N8)/4</f>
        <v>85.9</v>
      </c>
      <c r="R8" s="18">
        <f t="shared" ref="R8:R36" si="3">SUM(O8:Q8)/3</f>
        <v>85.341666666666654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1">
        <v>2</v>
      </c>
      <c r="B9" s="12" t="s">
        <v>19</v>
      </c>
      <c r="C9" s="25">
        <v>60</v>
      </c>
      <c r="D9" s="13"/>
      <c r="E9" s="13"/>
      <c r="F9" s="13"/>
      <c r="G9" s="23">
        <v>62.2</v>
      </c>
      <c r="H9" s="14"/>
      <c r="I9" s="14"/>
      <c r="J9" s="14"/>
      <c r="K9" s="24">
        <v>64.2</v>
      </c>
      <c r="L9" s="15"/>
      <c r="M9" s="15"/>
      <c r="N9" s="15"/>
      <c r="O9" s="16">
        <f t="shared" si="0"/>
        <v>15</v>
      </c>
      <c r="P9" s="16">
        <f t="shared" si="1"/>
        <v>15.55</v>
      </c>
      <c r="Q9" s="17">
        <f t="shared" si="2"/>
        <v>16.05</v>
      </c>
      <c r="R9" s="18">
        <f t="shared" si="3"/>
        <v>15.533333333333333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1">
        <v>3</v>
      </c>
      <c r="B10" s="12" t="s">
        <v>20</v>
      </c>
      <c r="C10" s="13">
        <v>100</v>
      </c>
      <c r="D10" s="13"/>
      <c r="E10" s="13"/>
      <c r="F10" s="13"/>
      <c r="G10" s="23">
        <v>99.2</v>
      </c>
      <c r="H10" s="14"/>
      <c r="I10" s="14"/>
      <c r="J10" s="14"/>
      <c r="K10" s="15">
        <v>100</v>
      </c>
      <c r="L10" s="15"/>
      <c r="M10" s="15"/>
      <c r="N10" s="15"/>
      <c r="O10" s="16">
        <f t="shared" si="0"/>
        <v>25</v>
      </c>
      <c r="P10" s="16">
        <f t="shared" si="1"/>
        <v>24.8</v>
      </c>
      <c r="Q10" s="17">
        <f t="shared" si="2"/>
        <v>25</v>
      </c>
      <c r="R10" s="18">
        <f t="shared" si="3"/>
        <v>24.933333333333334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1">
        <v>4</v>
      </c>
      <c r="B11" s="12" t="s">
        <v>21</v>
      </c>
      <c r="C11" s="25">
        <v>79.599999999999994</v>
      </c>
      <c r="D11" s="13"/>
      <c r="E11" s="13"/>
      <c r="F11" s="13"/>
      <c r="G11" s="23">
        <v>82</v>
      </c>
      <c r="H11" s="14"/>
      <c r="I11" s="14"/>
      <c r="J11" s="14"/>
      <c r="K11" s="15">
        <v>84</v>
      </c>
      <c r="L11" s="15"/>
      <c r="M11" s="15"/>
      <c r="N11" s="15"/>
      <c r="O11" s="16">
        <f t="shared" si="0"/>
        <v>19.899999999999999</v>
      </c>
      <c r="P11" s="16">
        <f t="shared" si="1"/>
        <v>20.5</v>
      </c>
      <c r="Q11" s="17">
        <f t="shared" si="2"/>
        <v>21</v>
      </c>
      <c r="R11" s="18">
        <f t="shared" si="3"/>
        <v>20.466666666666665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1">
        <v>5</v>
      </c>
      <c r="B12" s="12" t="s">
        <v>22</v>
      </c>
      <c r="C12" s="13">
        <v>60</v>
      </c>
      <c r="D12" s="13"/>
      <c r="E12" s="13"/>
      <c r="F12" s="13"/>
      <c r="G12" s="23">
        <v>60</v>
      </c>
      <c r="H12" s="14"/>
      <c r="I12" s="14"/>
      <c r="J12" s="14"/>
      <c r="K12" s="24">
        <v>61.8</v>
      </c>
      <c r="L12" s="15"/>
      <c r="M12" s="15"/>
      <c r="N12" s="15"/>
      <c r="O12" s="16">
        <f t="shared" si="0"/>
        <v>15</v>
      </c>
      <c r="P12" s="16">
        <f t="shared" si="1"/>
        <v>15</v>
      </c>
      <c r="Q12" s="17">
        <f t="shared" si="2"/>
        <v>15.45</v>
      </c>
      <c r="R12" s="18">
        <f t="shared" si="3"/>
        <v>15.15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1">
        <v>6</v>
      </c>
      <c r="B13" s="12" t="s">
        <v>23</v>
      </c>
      <c r="C13" s="13">
        <v>60</v>
      </c>
      <c r="D13" s="13"/>
      <c r="E13" s="13"/>
      <c r="F13" s="13"/>
      <c r="G13" s="23">
        <v>61.6</v>
      </c>
      <c r="H13" s="14"/>
      <c r="I13" s="14"/>
      <c r="J13" s="14"/>
      <c r="K13" s="15">
        <v>63</v>
      </c>
      <c r="L13" s="15"/>
      <c r="M13" s="15"/>
      <c r="N13" s="15"/>
      <c r="O13" s="16">
        <f t="shared" si="0"/>
        <v>15</v>
      </c>
      <c r="P13" s="16">
        <f t="shared" si="1"/>
        <v>15.4</v>
      </c>
      <c r="Q13" s="17">
        <f t="shared" si="2"/>
        <v>15.75</v>
      </c>
      <c r="R13" s="18">
        <f t="shared" si="3"/>
        <v>15.383333333333333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>
        <v>7</v>
      </c>
      <c r="B14" s="12" t="s">
        <v>24</v>
      </c>
      <c r="C14" s="13">
        <v>90</v>
      </c>
      <c r="D14" s="13"/>
      <c r="E14" s="13"/>
      <c r="F14" s="13"/>
      <c r="G14" s="23">
        <v>91</v>
      </c>
      <c r="H14" s="14"/>
      <c r="I14" s="14"/>
      <c r="J14" s="14"/>
      <c r="K14" s="24">
        <v>92.6</v>
      </c>
      <c r="L14" s="15"/>
      <c r="M14" s="15"/>
      <c r="N14" s="15"/>
      <c r="O14" s="16">
        <f t="shared" si="0"/>
        <v>22.5</v>
      </c>
      <c r="P14" s="16">
        <f t="shared" si="1"/>
        <v>22.75</v>
      </c>
      <c r="Q14" s="17">
        <f t="shared" si="2"/>
        <v>23.15</v>
      </c>
      <c r="R14" s="18">
        <f t="shared" si="3"/>
        <v>22.8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1">
        <v>8</v>
      </c>
      <c r="B15" s="12" t="s">
        <v>25</v>
      </c>
      <c r="C15" s="13">
        <v>60</v>
      </c>
      <c r="D15" s="13"/>
      <c r="E15" s="13"/>
      <c r="F15" s="13"/>
      <c r="G15" s="23">
        <v>61.6</v>
      </c>
      <c r="H15" s="14"/>
      <c r="I15" s="14"/>
      <c r="J15" s="14"/>
      <c r="K15" s="24">
        <v>62.8</v>
      </c>
      <c r="L15" s="15"/>
      <c r="M15" s="15"/>
      <c r="N15" s="15"/>
      <c r="O15" s="16">
        <f t="shared" si="0"/>
        <v>15</v>
      </c>
      <c r="P15" s="16">
        <f t="shared" si="1"/>
        <v>15.4</v>
      </c>
      <c r="Q15" s="17">
        <f t="shared" si="2"/>
        <v>15.7</v>
      </c>
      <c r="R15" s="18">
        <f t="shared" si="3"/>
        <v>15.366666666666665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1">
        <v>9</v>
      </c>
      <c r="B16" s="12" t="s">
        <v>26</v>
      </c>
      <c r="C16" s="25">
        <v>94.25</v>
      </c>
      <c r="D16" s="13"/>
      <c r="E16" s="13"/>
      <c r="F16" s="13"/>
      <c r="G16" s="23">
        <v>97.8</v>
      </c>
      <c r="H16" s="14"/>
      <c r="I16" s="14"/>
      <c r="J16" s="14"/>
      <c r="K16" s="24">
        <v>97.2</v>
      </c>
      <c r="L16" s="15"/>
      <c r="M16" s="15"/>
      <c r="N16" s="15"/>
      <c r="O16" s="16">
        <f t="shared" si="0"/>
        <v>23.5625</v>
      </c>
      <c r="P16" s="16">
        <f t="shared" si="1"/>
        <v>24.45</v>
      </c>
      <c r="Q16" s="17">
        <f t="shared" si="2"/>
        <v>24.3</v>
      </c>
      <c r="R16" s="18">
        <f t="shared" si="3"/>
        <v>24.104166666666668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1">
        <v>10</v>
      </c>
      <c r="B17" s="12" t="s">
        <v>27</v>
      </c>
      <c r="C17" s="25">
        <v>96.8</v>
      </c>
      <c r="D17" s="13"/>
      <c r="E17" s="13"/>
      <c r="F17" s="13"/>
      <c r="G17" s="23">
        <v>99.4</v>
      </c>
      <c r="H17" s="14"/>
      <c r="I17" s="14"/>
      <c r="J17" s="14"/>
      <c r="K17" s="15">
        <v>100</v>
      </c>
      <c r="L17" s="15"/>
      <c r="M17" s="15"/>
      <c r="N17" s="15"/>
      <c r="O17" s="16">
        <f t="shared" si="0"/>
        <v>24.2</v>
      </c>
      <c r="P17" s="16">
        <f t="shared" si="1"/>
        <v>24.85</v>
      </c>
      <c r="Q17" s="17">
        <f t="shared" si="2"/>
        <v>25</v>
      </c>
      <c r="R17" s="18">
        <f t="shared" si="3"/>
        <v>24.683333333333334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11">
        <v>11</v>
      </c>
      <c r="B18" s="12" t="s">
        <v>28</v>
      </c>
      <c r="C18" s="13">
        <v>93</v>
      </c>
      <c r="D18" s="13"/>
      <c r="E18" s="13"/>
      <c r="F18" s="13"/>
      <c r="G18" s="23">
        <v>94.2</v>
      </c>
      <c r="H18" s="14"/>
      <c r="I18" s="14"/>
      <c r="J18" s="14"/>
      <c r="K18" s="24">
        <v>90.6</v>
      </c>
      <c r="L18" s="15"/>
      <c r="M18" s="15"/>
      <c r="N18" s="15"/>
      <c r="O18" s="16">
        <f t="shared" si="0"/>
        <v>23.25</v>
      </c>
      <c r="P18" s="16">
        <f t="shared" si="1"/>
        <v>23.55</v>
      </c>
      <c r="Q18" s="17">
        <f t="shared" si="2"/>
        <v>22.65</v>
      </c>
      <c r="R18" s="18">
        <f t="shared" si="3"/>
        <v>23.149999999999995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1">
        <v>12</v>
      </c>
      <c r="B19" s="12" t="s">
        <v>29</v>
      </c>
      <c r="C19" s="13">
        <v>60</v>
      </c>
      <c r="D19" s="13"/>
      <c r="E19" s="13"/>
      <c r="F19" s="13"/>
      <c r="G19" s="23">
        <v>61.8</v>
      </c>
      <c r="H19" s="14"/>
      <c r="I19" s="14"/>
      <c r="J19" s="14"/>
      <c r="K19" s="15">
        <v>63</v>
      </c>
      <c r="L19" s="15"/>
      <c r="M19" s="15"/>
      <c r="N19" s="15"/>
      <c r="O19" s="16">
        <f t="shared" si="0"/>
        <v>15</v>
      </c>
      <c r="P19" s="16">
        <f t="shared" si="1"/>
        <v>15.45</v>
      </c>
      <c r="Q19" s="17">
        <f t="shared" si="2"/>
        <v>15.75</v>
      </c>
      <c r="R19" s="18">
        <f t="shared" si="3"/>
        <v>15.4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1">
        <v>13</v>
      </c>
      <c r="B20" s="12" t="s">
        <v>30</v>
      </c>
      <c r="C20" s="25">
        <v>93.2</v>
      </c>
      <c r="D20" s="13"/>
      <c r="E20" s="13"/>
      <c r="F20" s="13"/>
      <c r="G20" s="23">
        <v>96.6</v>
      </c>
      <c r="H20" s="14"/>
      <c r="I20" s="14"/>
      <c r="J20" s="14"/>
      <c r="K20" s="15">
        <v>94</v>
      </c>
      <c r="L20" s="15"/>
      <c r="M20" s="15"/>
      <c r="N20" s="15"/>
      <c r="O20" s="16">
        <f t="shared" si="0"/>
        <v>23.3</v>
      </c>
      <c r="P20" s="16">
        <f t="shared" si="1"/>
        <v>24.15</v>
      </c>
      <c r="Q20" s="17">
        <f t="shared" si="2"/>
        <v>23.5</v>
      </c>
      <c r="R20" s="18">
        <f t="shared" si="3"/>
        <v>23.650000000000002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1">
        <v>14</v>
      </c>
      <c r="B21" s="12" t="s">
        <v>31</v>
      </c>
      <c r="C21" s="25">
        <v>84.4</v>
      </c>
      <c r="D21" s="13"/>
      <c r="E21" s="13"/>
      <c r="F21" s="13"/>
      <c r="G21" s="23">
        <v>83.6</v>
      </c>
      <c r="H21" s="14"/>
      <c r="I21" s="14"/>
      <c r="J21" s="14"/>
      <c r="K21" s="24">
        <v>87.4</v>
      </c>
      <c r="L21" s="15"/>
      <c r="M21" s="15"/>
      <c r="N21" s="15"/>
      <c r="O21" s="16">
        <f t="shared" si="0"/>
        <v>21.1</v>
      </c>
      <c r="P21" s="16">
        <f t="shared" si="1"/>
        <v>20.9</v>
      </c>
      <c r="Q21" s="17">
        <f t="shared" si="2"/>
        <v>21.85</v>
      </c>
      <c r="R21" s="18">
        <f t="shared" si="3"/>
        <v>21.283333333333335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1">
        <v>15</v>
      </c>
      <c r="B22" s="12" t="s">
        <v>32</v>
      </c>
      <c r="C22" s="25">
        <v>82.8</v>
      </c>
      <c r="D22" s="13"/>
      <c r="E22" s="13"/>
      <c r="F22" s="13"/>
      <c r="G22" s="23">
        <v>81.400000000000006</v>
      </c>
      <c r="H22" s="14"/>
      <c r="I22" s="14"/>
      <c r="J22" s="14"/>
      <c r="K22" s="15">
        <v>85</v>
      </c>
      <c r="L22" s="15"/>
      <c r="M22" s="15"/>
      <c r="N22" s="15"/>
      <c r="O22" s="16">
        <f t="shared" si="0"/>
        <v>20.7</v>
      </c>
      <c r="P22" s="16">
        <f t="shared" si="1"/>
        <v>20.350000000000001</v>
      </c>
      <c r="Q22" s="17">
        <f t="shared" si="2"/>
        <v>21.25</v>
      </c>
      <c r="R22" s="18">
        <f t="shared" si="3"/>
        <v>20.766666666666666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1">
        <v>16</v>
      </c>
      <c r="B23" s="12" t="s">
        <v>33</v>
      </c>
      <c r="C23" s="25">
        <v>69.599999999999994</v>
      </c>
      <c r="D23" s="13"/>
      <c r="E23" s="13"/>
      <c r="F23" s="13"/>
      <c r="G23" s="23">
        <v>78</v>
      </c>
      <c r="H23" s="14"/>
      <c r="I23" s="14"/>
      <c r="J23" s="14"/>
      <c r="K23" s="24">
        <v>75.400000000000006</v>
      </c>
      <c r="L23" s="15"/>
      <c r="M23" s="15"/>
      <c r="N23" s="15"/>
      <c r="O23" s="16">
        <f t="shared" si="0"/>
        <v>17.399999999999999</v>
      </c>
      <c r="P23" s="16">
        <f t="shared" si="1"/>
        <v>19.5</v>
      </c>
      <c r="Q23" s="17">
        <f t="shared" si="2"/>
        <v>18.850000000000001</v>
      </c>
      <c r="R23" s="18">
        <f t="shared" si="3"/>
        <v>18.583333333333332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1">
        <v>17</v>
      </c>
      <c r="B24" s="12" t="s">
        <v>34</v>
      </c>
      <c r="C24" s="25">
        <v>87.8</v>
      </c>
      <c r="D24" s="13"/>
      <c r="E24" s="13"/>
      <c r="F24" s="13"/>
      <c r="G24" s="23">
        <v>90.6</v>
      </c>
      <c r="H24" s="14"/>
      <c r="I24" s="14"/>
      <c r="J24" s="14"/>
      <c r="K24" s="24">
        <v>90.4</v>
      </c>
      <c r="L24" s="15"/>
      <c r="M24" s="15"/>
      <c r="N24" s="15"/>
      <c r="O24" s="16">
        <f t="shared" si="0"/>
        <v>21.95</v>
      </c>
      <c r="P24" s="16">
        <f t="shared" si="1"/>
        <v>22.65</v>
      </c>
      <c r="Q24" s="17">
        <f t="shared" si="2"/>
        <v>22.6</v>
      </c>
      <c r="R24" s="18">
        <f t="shared" si="3"/>
        <v>22.399999999999995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0">
        <v>18</v>
      </c>
      <c r="B25" s="21" t="s">
        <v>35</v>
      </c>
      <c r="C25" s="26">
        <v>65</v>
      </c>
      <c r="D25" s="22"/>
      <c r="E25" s="22"/>
      <c r="F25" s="22"/>
      <c r="G25" s="26">
        <v>65</v>
      </c>
      <c r="H25" s="22"/>
      <c r="I25" s="22"/>
      <c r="J25" s="22"/>
      <c r="K25" s="22">
        <v>65</v>
      </c>
      <c r="L25" s="22"/>
      <c r="M25" s="22"/>
      <c r="N25" s="22"/>
      <c r="O25" s="16">
        <f t="shared" si="0"/>
        <v>16.25</v>
      </c>
      <c r="P25" s="16">
        <f t="shared" si="1"/>
        <v>16.25</v>
      </c>
      <c r="Q25" s="17">
        <f t="shared" si="2"/>
        <v>16.25</v>
      </c>
      <c r="R25" s="18">
        <f t="shared" si="3"/>
        <v>16.25</v>
      </c>
      <c r="S25" s="27"/>
      <c r="T25" s="27"/>
      <c r="U25" s="27"/>
      <c r="V25" s="27"/>
      <c r="W25" s="27"/>
      <c r="X25" s="27"/>
      <c r="Y25" s="27"/>
      <c r="Z25" s="27"/>
      <c r="AA25" s="27"/>
    </row>
    <row r="26" spans="1:27">
      <c r="A26" s="11">
        <v>19</v>
      </c>
      <c r="B26" s="12" t="s">
        <v>36</v>
      </c>
      <c r="C26" s="25">
        <v>87.2</v>
      </c>
      <c r="D26" s="13"/>
      <c r="E26" s="13"/>
      <c r="F26" s="13"/>
      <c r="G26" s="23">
        <v>89.4</v>
      </c>
      <c r="H26" s="14"/>
      <c r="I26" s="14"/>
      <c r="J26" s="14"/>
      <c r="K26" s="24">
        <v>92.2</v>
      </c>
      <c r="L26" s="15"/>
      <c r="M26" s="15"/>
      <c r="N26" s="15"/>
      <c r="O26" s="16">
        <f t="shared" si="0"/>
        <v>21.8</v>
      </c>
      <c r="P26" s="16">
        <f t="shared" si="1"/>
        <v>22.35</v>
      </c>
      <c r="Q26" s="17">
        <f t="shared" si="2"/>
        <v>23.05</v>
      </c>
      <c r="R26" s="18">
        <f t="shared" si="3"/>
        <v>22.400000000000002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1">
        <v>20</v>
      </c>
      <c r="B27" s="12" t="s">
        <v>37</v>
      </c>
      <c r="C27" s="25">
        <v>82.2</v>
      </c>
      <c r="D27" s="13"/>
      <c r="E27" s="13"/>
      <c r="F27" s="13"/>
      <c r="G27" s="23">
        <v>85.8</v>
      </c>
      <c r="H27" s="14"/>
      <c r="I27" s="14"/>
      <c r="J27" s="14"/>
      <c r="K27" s="24">
        <v>84.2</v>
      </c>
      <c r="L27" s="15"/>
      <c r="M27" s="15"/>
      <c r="N27" s="15"/>
      <c r="O27" s="16">
        <f t="shared" si="0"/>
        <v>20.55</v>
      </c>
      <c r="P27" s="16">
        <f t="shared" si="1"/>
        <v>21.45</v>
      </c>
      <c r="Q27" s="17">
        <f t="shared" si="2"/>
        <v>21.05</v>
      </c>
      <c r="R27" s="18">
        <f t="shared" si="3"/>
        <v>21.016666666666666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1">
        <v>21</v>
      </c>
      <c r="B28" s="12" t="s">
        <v>38</v>
      </c>
      <c r="C28" s="25">
        <v>86.4</v>
      </c>
      <c r="D28" s="13"/>
      <c r="E28" s="13"/>
      <c r="F28" s="13"/>
      <c r="G28" s="23">
        <v>90</v>
      </c>
      <c r="H28" s="14"/>
      <c r="I28" s="14"/>
      <c r="J28" s="14"/>
      <c r="K28" s="24">
        <v>89.2</v>
      </c>
      <c r="L28" s="15"/>
      <c r="M28" s="15"/>
      <c r="N28" s="15"/>
      <c r="O28" s="16">
        <f t="shared" si="0"/>
        <v>21.6</v>
      </c>
      <c r="P28" s="16">
        <f t="shared" si="1"/>
        <v>22.5</v>
      </c>
      <c r="Q28" s="17">
        <f t="shared" si="2"/>
        <v>22.3</v>
      </c>
      <c r="R28" s="18">
        <f t="shared" si="3"/>
        <v>22.133333333333336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1">
        <v>22</v>
      </c>
      <c r="B29" s="12" t="s">
        <v>39</v>
      </c>
      <c r="C29" s="13">
        <v>60</v>
      </c>
      <c r="D29" s="13"/>
      <c r="E29" s="13"/>
      <c r="F29" s="13"/>
      <c r="G29" s="23">
        <v>62.8</v>
      </c>
      <c r="H29" s="14"/>
      <c r="I29" s="14"/>
      <c r="J29" s="14"/>
      <c r="K29" s="24">
        <v>63.8</v>
      </c>
      <c r="L29" s="15"/>
      <c r="M29" s="15"/>
      <c r="N29" s="15"/>
      <c r="O29" s="16">
        <f t="shared" si="0"/>
        <v>15</v>
      </c>
      <c r="P29" s="16">
        <f t="shared" si="1"/>
        <v>15.7</v>
      </c>
      <c r="Q29" s="17">
        <f t="shared" si="2"/>
        <v>15.95</v>
      </c>
      <c r="R29" s="18">
        <f t="shared" si="3"/>
        <v>15.549999999999999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1">
        <v>23</v>
      </c>
      <c r="B30" s="12" t="s">
        <v>40</v>
      </c>
      <c r="C30" s="25">
        <v>60.6</v>
      </c>
      <c r="D30" s="13"/>
      <c r="E30" s="13"/>
      <c r="F30" s="13"/>
      <c r="G30" s="23">
        <v>62.8</v>
      </c>
      <c r="H30" s="14"/>
      <c r="I30" s="14"/>
      <c r="J30" s="14"/>
      <c r="K30" s="15">
        <v>64</v>
      </c>
      <c r="L30" s="15"/>
      <c r="M30" s="15"/>
      <c r="N30" s="15"/>
      <c r="O30" s="16">
        <f t="shared" si="0"/>
        <v>15.15</v>
      </c>
      <c r="P30" s="16">
        <f t="shared" si="1"/>
        <v>15.7</v>
      </c>
      <c r="Q30" s="17">
        <f t="shared" si="2"/>
        <v>16</v>
      </c>
      <c r="R30" s="18">
        <f t="shared" si="3"/>
        <v>15.616666666666667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1">
        <v>24</v>
      </c>
      <c r="B31" s="12" t="s">
        <v>41</v>
      </c>
      <c r="C31" s="25">
        <v>66.599999999999994</v>
      </c>
      <c r="D31" s="13"/>
      <c r="E31" s="13"/>
      <c r="F31" s="13"/>
      <c r="G31" s="23">
        <v>68.2</v>
      </c>
      <c r="H31" s="14"/>
      <c r="I31" s="14"/>
      <c r="J31" s="14"/>
      <c r="K31" s="24">
        <v>68.2</v>
      </c>
      <c r="L31" s="15"/>
      <c r="M31" s="15"/>
      <c r="N31" s="15"/>
      <c r="O31" s="16">
        <f t="shared" si="0"/>
        <v>16.649999999999999</v>
      </c>
      <c r="P31" s="16">
        <f t="shared" si="1"/>
        <v>17.05</v>
      </c>
      <c r="Q31" s="17">
        <f t="shared" si="2"/>
        <v>17.05</v>
      </c>
      <c r="R31" s="18">
        <f t="shared" si="3"/>
        <v>16.916666666666668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1">
        <v>25</v>
      </c>
      <c r="B32" s="12" t="s">
        <v>42</v>
      </c>
      <c r="C32" s="25">
        <v>94.8</v>
      </c>
      <c r="D32" s="13"/>
      <c r="E32" s="13"/>
      <c r="F32" s="13"/>
      <c r="G32" s="23">
        <v>94</v>
      </c>
      <c r="H32" s="14"/>
      <c r="I32" s="14"/>
      <c r="J32" s="14"/>
      <c r="K32" s="24">
        <v>94.8</v>
      </c>
      <c r="L32" s="15"/>
      <c r="M32" s="15"/>
      <c r="N32" s="15"/>
      <c r="O32" s="16">
        <f t="shared" si="0"/>
        <v>23.7</v>
      </c>
      <c r="P32" s="16">
        <f t="shared" si="1"/>
        <v>23.5</v>
      </c>
      <c r="Q32" s="17">
        <f t="shared" si="2"/>
        <v>23.7</v>
      </c>
      <c r="R32" s="18">
        <f t="shared" si="3"/>
        <v>23.633333333333336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1">
        <v>26</v>
      </c>
      <c r="B33" s="12" t="s">
        <v>43</v>
      </c>
      <c r="C33" s="25">
        <v>93.6</v>
      </c>
      <c r="D33" s="13"/>
      <c r="E33" s="13"/>
      <c r="F33" s="13"/>
      <c r="G33" s="23">
        <v>95.2</v>
      </c>
      <c r="H33" s="14"/>
      <c r="I33" s="14"/>
      <c r="J33" s="14"/>
      <c r="K33" s="24">
        <v>96</v>
      </c>
      <c r="L33" s="15"/>
      <c r="M33" s="15"/>
      <c r="N33" s="15"/>
      <c r="O33" s="16">
        <f t="shared" si="0"/>
        <v>23.4</v>
      </c>
      <c r="P33" s="16">
        <f t="shared" si="1"/>
        <v>23.8</v>
      </c>
      <c r="Q33" s="17">
        <f t="shared" si="2"/>
        <v>24</v>
      </c>
      <c r="R33" s="18">
        <f t="shared" si="3"/>
        <v>23.733333333333334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1">
        <v>27</v>
      </c>
      <c r="B34" s="12" t="s">
        <v>44</v>
      </c>
      <c r="C34" s="25">
        <v>89.8</v>
      </c>
      <c r="D34" s="13"/>
      <c r="E34" s="13"/>
      <c r="F34" s="13"/>
      <c r="G34" s="23">
        <v>91.8</v>
      </c>
      <c r="H34" s="14"/>
      <c r="I34" s="14"/>
      <c r="J34" s="14"/>
      <c r="K34" s="24">
        <v>92.6</v>
      </c>
      <c r="L34" s="15"/>
      <c r="M34" s="15"/>
      <c r="N34" s="15"/>
      <c r="O34" s="16">
        <f t="shared" si="0"/>
        <v>22.45</v>
      </c>
      <c r="P34" s="16">
        <f t="shared" si="1"/>
        <v>22.95</v>
      </c>
      <c r="Q34" s="17">
        <f t="shared" si="2"/>
        <v>23.15</v>
      </c>
      <c r="R34" s="18">
        <f t="shared" si="3"/>
        <v>22.849999999999998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1">
        <v>28</v>
      </c>
      <c r="B35" s="12" t="s">
        <v>45</v>
      </c>
      <c r="C35" s="25">
        <v>87.6</v>
      </c>
      <c r="D35" s="13"/>
      <c r="E35" s="13"/>
      <c r="F35" s="13"/>
      <c r="G35" s="23">
        <v>89</v>
      </c>
      <c r="H35" s="14"/>
      <c r="I35" s="14"/>
      <c r="J35" s="14"/>
      <c r="K35" s="24">
        <v>89.6</v>
      </c>
      <c r="L35" s="15"/>
      <c r="M35" s="15"/>
      <c r="N35" s="15"/>
      <c r="O35" s="16">
        <f t="shared" si="0"/>
        <v>21.9</v>
      </c>
      <c r="P35" s="16">
        <f t="shared" si="1"/>
        <v>22.25</v>
      </c>
      <c r="Q35" s="17">
        <f t="shared" si="2"/>
        <v>22.4</v>
      </c>
      <c r="R35" s="18">
        <f t="shared" si="3"/>
        <v>22.183333333333334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1">
        <v>29</v>
      </c>
      <c r="B36" s="12" t="s">
        <v>46</v>
      </c>
      <c r="C36" s="25">
        <v>83.6</v>
      </c>
      <c r="D36" s="13"/>
      <c r="E36" s="13"/>
      <c r="F36" s="13"/>
      <c r="G36" s="23">
        <v>87</v>
      </c>
      <c r="H36" s="14"/>
      <c r="I36" s="14"/>
      <c r="J36" s="14"/>
      <c r="K36" s="15">
        <v>85</v>
      </c>
      <c r="L36" s="15"/>
      <c r="M36" s="15"/>
      <c r="N36" s="15"/>
      <c r="O36" s="16">
        <f t="shared" si="0"/>
        <v>20.9</v>
      </c>
      <c r="P36" s="16">
        <f t="shared" si="1"/>
        <v>21.75</v>
      </c>
      <c r="Q36" s="17">
        <f t="shared" si="2"/>
        <v>21.25</v>
      </c>
      <c r="R36" s="18">
        <f t="shared" si="3"/>
        <v>21.3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28"/>
      <c r="E37" s="1"/>
      <c r="F37" s="1"/>
    </row>
    <row r="38" spans="1:27" ht="15">
      <c r="A38" s="1"/>
      <c r="B38" s="1"/>
      <c r="C38" s="1"/>
      <c r="D38" s="1"/>
      <c r="E38" s="1"/>
      <c r="F38" s="1"/>
    </row>
    <row r="39" spans="1:27" ht="15">
      <c r="A39" s="1"/>
      <c r="B39" s="1"/>
      <c r="C39" s="1"/>
      <c r="D39" s="1"/>
      <c r="E39" s="1"/>
      <c r="F39" s="1"/>
    </row>
    <row r="40" spans="1:27" ht="15">
      <c r="A40" s="1"/>
      <c r="B40" s="1"/>
      <c r="C40" s="1"/>
      <c r="D40" s="1"/>
      <c r="E40" s="1"/>
      <c r="F40" s="1"/>
    </row>
    <row r="41" spans="1:27" ht="15">
      <c r="A41" s="1"/>
      <c r="B41" s="1"/>
      <c r="C41" s="1"/>
      <c r="D41" s="1"/>
      <c r="E41" s="1"/>
      <c r="F41" s="1"/>
    </row>
    <row r="42" spans="1:27" ht="15">
      <c r="A42" s="1"/>
      <c r="B42" s="1"/>
      <c r="C42" s="1"/>
      <c r="D42" s="1"/>
      <c r="E42" s="1"/>
      <c r="F42" s="1"/>
    </row>
    <row r="43" spans="1:27" ht="15">
      <c r="A43" s="1"/>
      <c r="B43" s="1"/>
      <c r="C43" s="1"/>
      <c r="D43" s="1"/>
      <c r="E43" s="1"/>
      <c r="F43" s="1"/>
    </row>
    <row r="44" spans="1:27" ht="15">
      <c r="A44" s="1"/>
      <c r="B44" s="1"/>
      <c r="C44" s="1"/>
      <c r="D44" s="1"/>
      <c r="E44" s="1"/>
      <c r="F44" s="1"/>
    </row>
    <row r="45" spans="1:27" ht="15">
      <c r="A45" s="1"/>
      <c r="B45" s="1"/>
      <c r="C45" s="1"/>
      <c r="D45" s="1"/>
      <c r="E45" s="1"/>
      <c r="F45" s="1"/>
    </row>
    <row r="46" spans="1:27" ht="15">
      <c r="A46" s="1"/>
      <c r="B46" s="1"/>
      <c r="C46" s="1"/>
      <c r="D46" s="1"/>
      <c r="E46" s="1"/>
      <c r="F46" s="1"/>
    </row>
    <row r="47" spans="1:27" ht="15">
      <c r="A47" s="1"/>
      <c r="B47" s="1"/>
      <c r="C47" s="1"/>
      <c r="D47" s="1"/>
      <c r="E47" s="1"/>
      <c r="F47" s="1"/>
    </row>
    <row r="48" spans="1:27" ht="15">
      <c r="A48" s="1"/>
      <c r="B48" s="1"/>
      <c r="C48" s="1"/>
      <c r="D48" s="1"/>
      <c r="E48" s="1"/>
      <c r="F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8">
    <mergeCell ref="A1:A7"/>
    <mergeCell ref="B1:B7"/>
    <mergeCell ref="R1:R7"/>
    <mergeCell ref="O5:Q6"/>
    <mergeCell ref="K5:N6"/>
    <mergeCell ref="G5:J6"/>
    <mergeCell ref="C5:F6"/>
    <mergeCell ref="C1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8"/>
  <sheetViews>
    <sheetView workbookViewId="0">
      <pane xSplit="2" topLeftCell="C1" activePane="topRight" state="frozen"/>
      <selection pane="topRight" activeCell="L8" sqref="L8:N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14" width="4.7109375" customWidth="1"/>
    <col min="15" max="17" width="7.85546875" customWidth="1"/>
    <col min="18" max="18" width="12.28515625" customWidth="1"/>
  </cols>
  <sheetData>
    <row r="1" spans="1:27" ht="15.75" customHeight="1">
      <c r="A1" s="40" t="s">
        <v>0</v>
      </c>
      <c r="B1" s="42" t="s">
        <v>1</v>
      </c>
      <c r="C1" s="55" t="s">
        <v>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5" t="s">
        <v>3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1"/>
      <c r="B2" s="43"/>
      <c r="C2" s="5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57"/>
      <c r="R2" s="43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41"/>
      <c r="B3" s="43"/>
      <c r="C3" s="56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7"/>
      <c r="R3" s="43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/>
      <c r="B4" s="43"/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43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/>
      <c r="B5" s="43"/>
      <c r="C5" s="54" t="s">
        <v>4</v>
      </c>
      <c r="D5" s="47"/>
      <c r="E5" s="47"/>
      <c r="F5" s="48"/>
      <c r="G5" s="53" t="s">
        <v>5</v>
      </c>
      <c r="H5" s="47"/>
      <c r="I5" s="47"/>
      <c r="J5" s="48"/>
      <c r="K5" s="52" t="s">
        <v>6</v>
      </c>
      <c r="L5" s="47"/>
      <c r="M5" s="47"/>
      <c r="N5" s="48"/>
      <c r="O5" s="46" t="s">
        <v>7</v>
      </c>
      <c r="P5" s="47"/>
      <c r="Q5" s="48"/>
      <c r="R5" s="43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41"/>
      <c r="B6" s="43"/>
      <c r="C6" s="49"/>
      <c r="D6" s="50"/>
      <c r="E6" s="50"/>
      <c r="F6" s="51"/>
      <c r="G6" s="49"/>
      <c r="H6" s="50"/>
      <c r="I6" s="50"/>
      <c r="J6" s="51"/>
      <c r="K6" s="49"/>
      <c r="L6" s="50"/>
      <c r="M6" s="50"/>
      <c r="N6" s="51"/>
      <c r="O6" s="49"/>
      <c r="P6" s="50"/>
      <c r="Q6" s="51"/>
      <c r="R6" s="43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41"/>
      <c r="B7" s="44"/>
      <c r="C7" s="2" t="s">
        <v>8</v>
      </c>
      <c r="D7" s="3" t="s">
        <v>12</v>
      </c>
      <c r="E7" s="3" t="s">
        <v>13</v>
      </c>
      <c r="F7" s="5" t="s">
        <v>14</v>
      </c>
      <c r="G7" s="6" t="s">
        <v>8</v>
      </c>
      <c r="H7" s="6" t="s">
        <v>12</v>
      </c>
      <c r="I7" s="6" t="s">
        <v>13</v>
      </c>
      <c r="J7" s="6" t="s">
        <v>14</v>
      </c>
      <c r="K7" s="7" t="s">
        <v>8</v>
      </c>
      <c r="L7" s="7" t="s">
        <v>12</v>
      </c>
      <c r="M7" s="7" t="s">
        <v>13</v>
      </c>
      <c r="N7" s="7" t="s">
        <v>14</v>
      </c>
      <c r="O7" s="8" t="s">
        <v>15</v>
      </c>
      <c r="P7" s="9" t="s">
        <v>16</v>
      </c>
      <c r="Q7" s="10" t="s">
        <v>17</v>
      </c>
      <c r="R7" s="44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1">
        <v>1</v>
      </c>
      <c r="B8" s="12" t="s">
        <v>18</v>
      </c>
      <c r="C8" s="25">
        <v>87.5</v>
      </c>
      <c r="D8" s="13">
        <v>82</v>
      </c>
      <c r="E8" s="13">
        <v>85</v>
      </c>
      <c r="F8" s="13">
        <v>89</v>
      </c>
      <c r="G8" s="23">
        <v>81.666666666666671</v>
      </c>
      <c r="H8" s="14">
        <v>82</v>
      </c>
      <c r="I8" s="14">
        <v>85</v>
      </c>
      <c r="J8" s="14">
        <v>89</v>
      </c>
      <c r="K8" s="24">
        <v>93.333333333333329</v>
      </c>
      <c r="L8" s="15">
        <v>82</v>
      </c>
      <c r="M8" s="15">
        <v>85</v>
      </c>
      <c r="N8" s="15">
        <v>89</v>
      </c>
      <c r="O8" s="16">
        <f t="shared" ref="O8:O36" si="0">(C8+D8+E8+F8)/4</f>
        <v>85.875</v>
      </c>
      <c r="P8" s="16">
        <f t="shared" ref="P8:P36" si="1">(G8+H8+I8+J8)/4</f>
        <v>84.416666666666671</v>
      </c>
      <c r="Q8" s="17">
        <f t="shared" ref="Q8:Q36" si="2">(K8+L8+M8+N8)/4</f>
        <v>87.333333333333329</v>
      </c>
      <c r="R8" s="18">
        <f t="shared" ref="R8:R36" si="3">SUM(O8:Q8)/3</f>
        <v>85.875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1">
        <v>2</v>
      </c>
      <c r="B9" s="12" t="s">
        <v>19</v>
      </c>
      <c r="C9" s="25">
        <v>61.25</v>
      </c>
      <c r="D9" s="13"/>
      <c r="E9" s="13"/>
      <c r="F9" s="13"/>
      <c r="G9" s="23">
        <v>62</v>
      </c>
      <c r="H9" s="14"/>
      <c r="I9" s="14"/>
      <c r="J9" s="14"/>
      <c r="K9" s="24">
        <v>62.333333333333336</v>
      </c>
      <c r="L9" s="15"/>
      <c r="M9" s="15"/>
      <c r="N9" s="15"/>
      <c r="O9" s="16">
        <f t="shared" si="0"/>
        <v>15.3125</v>
      </c>
      <c r="P9" s="16">
        <f t="shared" si="1"/>
        <v>15.5</v>
      </c>
      <c r="Q9" s="17">
        <f t="shared" si="2"/>
        <v>15.583333333333334</v>
      </c>
      <c r="R9" s="18">
        <f t="shared" si="3"/>
        <v>15.465277777777779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1">
        <v>3</v>
      </c>
      <c r="B10" s="12" t="s">
        <v>20</v>
      </c>
      <c r="C10" s="13">
        <v>99</v>
      </c>
      <c r="D10" s="13"/>
      <c r="E10" s="13"/>
      <c r="F10" s="13"/>
      <c r="G10" s="23">
        <v>98.666666666666671</v>
      </c>
      <c r="H10" s="14"/>
      <c r="I10" s="14"/>
      <c r="J10" s="14"/>
      <c r="K10" s="24">
        <v>100</v>
      </c>
      <c r="L10" s="15"/>
      <c r="M10" s="15"/>
      <c r="N10" s="15"/>
      <c r="O10" s="16">
        <f t="shared" si="0"/>
        <v>24.75</v>
      </c>
      <c r="P10" s="16">
        <f t="shared" si="1"/>
        <v>24.666666666666668</v>
      </c>
      <c r="Q10" s="17">
        <f t="shared" si="2"/>
        <v>25</v>
      </c>
      <c r="R10" s="18">
        <f t="shared" si="3"/>
        <v>24.805555555555557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1">
        <v>4</v>
      </c>
      <c r="B11" s="12" t="s">
        <v>21</v>
      </c>
      <c r="C11" s="25">
        <v>85.25</v>
      </c>
      <c r="D11" s="13"/>
      <c r="E11" s="13"/>
      <c r="F11" s="13"/>
      <c r="G11" s="23">
        <v>83</v>
      </c>
      <c r="H11" s="14"/>
      <c r="I11" s="14"/>
      <c r="J11" s="14"/>
      <c r="K11" s="24">
        <v>89</v>
      </c>
      <c r="L11" s="15"/>
      <c r="M11" s="15"/>
      <c r="N11" s="15"/>
      <c r="O11" s="16">
        <f t="shared" si="0"/>
        <v>21.3125</v>
      </c>
      <c r="P11" s="16">
        <f t="shared" si="1"/>
        <v>20.75</v>
      </c>
      <c r="Q11" s="17">
        <f t="shared" si="2"/>
        <v>22.25</v>
      </c>
      <c r="R11" s="18">
        <f t="shared" si="3"/>
        <v>21.4375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1">
        <v>5</v>
      </c>
      <c r="B12" s="12" t="s">
        <v>22</v>
      </c>
      <c r="C12" s="13">
        <v>60</v>
      </c>
      <c r="D12" s="13"/>
      <c r="E12" s="13"/>
      <c r="F12" s="13"/>
      <c r="G12" s="23">
        <v>61</v>
      </c>
      <c r="H12" s="14"/>
      <c r="I12" s="14"/>
      <c r="J12" s="14"/>
      <c r="K12" s="24">
        <v>62</v>
      </c>
      <c r="L12" s="15"/>
      <c r="M12" s="15"/>
      <c r="N12" s="15"/>
      <c r="O12" s="16">
        <f t="shared" si="0"/>
        <v>15</v>
      </c>
      <c r="P12" s="16">
        <f t="shared" si="1"/>
        <v>15.25</v>
      </c>
      <c r="Q12" s="17">
        <f t="shared" si="2"/>
        <v>15.5</v>
      </c>
      <c r="R12" s="18">
        <f t="shared" si="3"/>
        <v>15.25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1">
        <v>6</v>
      </c>
      <c r="B13" s="12" t="s">
        <v>23</v>
      </c>
      <c r="C13" s="13">
        <v>63</v>
      </c>
      <c r="D13" s="13"/>
      <c r="E13" s="13"/>
      <c r="F13" s="13"/>
      <c r="G13" s="23">
        <v>63</v>
      </c>
      <c r="H13" s="14"/>
      <c r="I13" s="14"/>
      <c r="J13" s="14"/>
      <c r="K13" s="24">
        <v>62.666666666666664</v>
      </c>
      <c r="L13" s="15"/>
      <c r="M13" s="15"/>
      <c r="N13" s="15"/>
      <c r="O13" s="16">
        <f t="shared" si="0"/>
        <v>15.75</v>
      </c>
      <c r="P13" s="16">
        <f t="shared" si="1"/>
        <v>15.75</v>
      </c>
      <c r="Q13" s="17">
        <f t="shared" si="2"/>
        <v>15.666666666666666</v>
      </c>
      <c r="R13" s="18">
        <f t="shared" si="3"/>
        <v>15.722222222222221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>
        <v>7</v>
      </c>
      <c r="B14" s="12" t="s">
        <v>24</v>
      </c>
      <c r="C14" s="13">
        <v>90</v>
      </c>
      <c r="D14" s="13"/>
      <c r="E14" s="13"/>
      <c r="F14" s="13"/>
      <c r="G14" s="23">
        <v>88</v>
      </c>
      <c r="H14" s="14"/>
      <c r="I14" s="14"/>
      <c r="J14" s="14"/>
      <c r="K14" s="24">
        <v>89.666666666666671</v>
      </c>
      <c r="L14" s="15"/>
      <c r="M14" s="15"/>
      <c r="N14" s="15"/>
      <c r="O14" s="16">
        <f t="shared" si="0"/>
        <v>22.5</v>
      </c>
      <c r="P14" s="16">
        <f t="shared" si="1"/>
        <v>22</v>
      </c>
      <c r="Q14" s="17">
        <f t="shared" si="2"/>
        <v>22.416666666666668</v>
      </c>
      <c r="R14" s="18">
        <f t="shared" si="3"/>
        <v>22.305555555555557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1">
        <v>8</v>
      </c>
      <c r="B15" s="12" t="s">
        <v>25</v>
      </c>
      <c r="C15" s="13">
        <v>61</v>
      </c>
      <c r="D15" s="13"/>
      <c r="E15" s="13"/>
      <c r="F15" s="13"/>
      <c r="G15" s="23">
        <v>63</v>
      </c>
      <c r="H15" s="14"/>
      <c r="I15" s="14"/>
      <c r="J15" s="14"/>
      <c r="K15" s="24">
        <v>62.666666666666664</v>
      </c>
      <c r="L15" s="15"/>
      <c r="M15" s="15"/>
      <c r="N15" s="15"/>
      <c r="O15" s="16">
        <f t="shared" si="0"/>
        <v>15.25</v>
      </c>
      <c r="P15" s="16">
        <f t="shared" si="1"/>
        <v>15.75</v>
      </c>
      <c r="Q15" s="17">
        <f t="shared" si="2"/>
        <v>15.666666666666666</v>
      </c>
      <c r="R15" s="18">
        <f t="shared" si="3"/>
        <v>15.555555555555555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1">
        <v>9</v>
      </c>
      <c r="B16" s="12" t="s">
        <v>26</v>
      </c>
      <c r="C16" s="25">
        <v>94.5</v>
      </c>
      <c r="D16" s="13"/>
      <c r="E16" s="13"/>
      <c r="F16" s="13"/>
      <c r="G16" s="23">
        <v>95.333333333333329</v>
      </c>
      <c r="H16" s="14"/>
      <c r="I16" s="14"/>
      <c r="J16" s="14"/>
      <c r="K16" s="24">
        <v>96</v>
      </c>
      <c r="L16" s="15"/>
      <c r="M16" s="15"/>
      <c r="N16" s="15"/>
      <c r="O16" s="16">
        <f t="shared" si="0"/>
        <v>23.625</v>
      </c>
      <c r="P16" s="16">
        <f t="shared" si="1"/>
        <v>23.833333333333332</v>
      </c>
      <c r="Q16" s="17">
        <f t="shared" si="2"/>
        <v>24</v>
      </c>
      <c r="R16" s="18">
        <f t="shared" si="3"/>
        <v>23.819444444444443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1">
        <v>10</v>
      </c>
      <c r="B17" s="12" t="s">
        <v>27</v>
      </c>
      <c r="C17" s="13">
        <v>98</v>
      </c>
      <c r="D17" s="13"/>
      <c r="E17" s="13"/>
      <c r="F17" s="13"/>
      <c r="G17" s="23">
        <v>98</v>
      </c>
      <c r="H17" s="14"/>
      <c r="I17" s="14"/>
      <c r="J17" s="14"/>
      <c r="K17" s="24">
        <v>100</v>
      </c>
      <c r="L17" s="15"/>
      <c r="M17" s="15"/>
      <c r="N17" s="15"/>
      <c r="O17" s="16">
        <f t="shared" si="0"/>
        <v>24.5</v>
      </c>
      <c r="P17" s="16">
        <f t="shared" si="1"/>
        <v>24.5</v>
      </c>
      <c r="Q17" s="17">
        <f t="shared" si="2"/>
        <v>25</v>
      </c>
      <c r="R17" s="18">
        <f t="shared" si="3"/>
        <v>24.666666666666668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11">
        <v>11</v>
      </c>
      <c r="B18" s="12" t="s">
        <v>28</v>
      </c>
      <c r="C18" s="13">
        <v>90</v>
      </c>
      <c r="D18" s="13"/>
      <c r="E18" s="13"/>
      <c r="F18" s="13"/>
      <c r="G18" s="23">
        <v>85.333333333333329</v>
      </c>
      <c r="H18" s="14"/>
      <c r="I18" s="14"/>
      <c r="J18" s="14"/>
      <c r="K18" s="24">
        <v>90</v>
      </c>
      <c r="L18" s="15"/>
      <c r="M18" s="15"/>
      <c r="N18" s="15"/>
      <c r="O18" s="16">
        <f t="shared" si="0"/>
        <v>22.5</v>
      </c>
      <c r="P18" s="16">
        <f t="shared" si="1"/>
        <v>21.333333333333332</v>
      </c>
      <c r="Q18" s="17">
        <f t="shared" si="2"/>
        <v>22.5</v>
      </c>
      <c r="R18" s="18">
        <f t="shared" si="3"/>
        <v>22.111111111111111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1">
        <v>12</v>
      </c>
      <c r="B19" s="12" t="s">
        <v>29</v>
      </c>
      <c r="C19" s="25">
        <v>62.25</v>
      </c>
      <c r="D19" s="13"/>
      <c r="E19" s="13"/>
      <c r="F19" s="13"/>
      <c r="G19" s="23">
        <v>62.666666666666664</v>
      </c>
      <c r="H19" s="14"/>
      <c r="I19" s="14"/>
      <c r="J19" s="14"/>
      <c r="K19" s="24">
        <v>61</v>
      </c>
      <c r="L19" s="15"/>
      <c r="M19" s="15"/>
      <c r="N19" s="15"/>
      <c r="O19" s="16">
        <f t="shared" si="0"/>
        <v>15.5625</v>
      </c>
      <c r="P19" s="16">
        <f t="shared" si="1"/>
        <v>15.666666666666666</v>
      </c>
      <c r="Q19" s="17">
        <f t="shared" si="2"/>
        <v>15.25</v>
      </c>
      <c r="R19" s="18">
        <f t="shared" si="3"/>
        <v>15.493055555555555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1">
        <v>13</v>
      </c>
      <c r="B20" s="12" t="s">
        <v>30</v>
      </c>
      <c r="C20" s="25">
        <v>95.5</v>
      </c>
      <c r="D20" s="13"/>
      <c r="E20" s="13"/>
      <c r="F20" s="13"/>
      <c r="G20" s="23">
        <v>98</v>
      </c>
      <c r="H20" s="14"/>
      <c r="I20" s="14"/>
      <c r="J20" s="14"/>
      <c r="K20" s="24">
        <v>96.666666666666671</v>
      </c>
      <c r="L20" s="15"/>
      <c r="M20" s="15"/>
      <c r="N20" s="15"/>
      <c r="O20" s="16">
        <f t="shared" si="0"/>
        <v>23.875</v>
      </c>
      <c r="P20" s="16">
        <f t="shared" si="1"/>
        <v>24.5</v>
      </c>
      <c r="Q20" s="17">
        <f t="shared" si="2"/>
        <v>24.166666666666668</v>
      </c>
      <c r="R20" s="18">
        <f t="shared" si="3"/>
        <v>24.180555555555557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1">
        <v>14</v>
      </c>
      <c r="B21" s="12" t="s">
        <v>31</v>
      </c>
      <c r="C21" s="13">
        <v>90</v>
      </c>
      <c r="D21" s="13"/>
      <c r="E21" s="13"/>
      <c r="F21" s="13"/>
      <c r="G21" s="23">
        <v>89</v>
      </c>
      <c r="H21" s="14"/>
      <c r="I21" s="14"/>
      <c r="J21" s="14"/>
      <c r="K21" s="24">
        <v>89.333333333333329</v>
      </c>
      <c r="L21" s="15"/>
      <c r="M21" s="15"/>
      <c r="N21" s="15"/>
      <c r="O21" s="16">
        <f t="shared" si="0"/>
        <v>22.5</v>
      </c>
      <c r="P21" s="16">
        <f t="shared" si="1"/>
        <v>22.25</v>
      </c>
      <c r="Q21" s="17">
        <f t="shared" si="2"/>
        <v>22.333333333333332</v>
      </c>
      <c r="R21" s="18">
        <f t="shared" si="3"/>
        <v>22.361111111111111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1">
        <v>15</v>
      </c>
      <c r="B22" s="12" t="s">
        <v>32</v>
      </c>
      <c r="C22" s="25">
        <v>86.25</v>
      </c>
      <c r="D22" s="13"/>
      <c r="E22" s="13"/>
      <c r="F22" s="13"/>
      <c r="G22" s="23">
        <v>86</v>
      </c>
      <c r="H22" s="14"/>
      <c r="I22" s="14"/>
      <c r="J22" s="14"/>
      <c r="K22" s="24">
        <v>89</v>
      </c>
      <c r="L22" s="15"/>
      <c r="M22" s="15"/>
      <c r="N22" s="15"/>
      <c r="O22" s="16">
        <f t="shared" si="0"/>
        <v>21.5625</v>
      </c>
      <c r="P22" s="16">
        <f t="shared" si="1"/>
        <v>21.5</v>
      </c>
      <c r="Q22" s="17">
        <f t="shared" si="2"/>
        <v>22.25</v>
      </c>
      <c r="R22" s="18">
        <f t="shared" si="3"/>
        <v>21.770833333333332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1">
        <v>16</v>
      </c>
      <c r="B23" s="12" t="s">
        <v>33</v>
      </c>
      <c r="C23" s="25">
        <v>78.25</v>
      </c>
      <c r="D23" s="13"/>
      <c r="E23" s="13"/>
      <c r="F23" s="13"/>
      <c r="G23" s="23">
        <v>79</v>
      </c>
      <c r="H23" s="14"/>
      <c r="I23" s="14"/>
      <c r="J23" s="14"/>
      <c r="K23" s="24">
        <v>81.666666666666671</v>
      </c>
      <c r="L23" s="15"/>
      <c r="M23" s="15"/>
      <c r="N23" s="15"/>
      <c r="O23" s="16">
        <f t="shared" si="0"/>
        <v>19.5625</v>
      </c>
      <c r="P23" s="16">
        <f t="shared" si="1"/>
        <v>19.75</v>
      </c>
      <c r="Q23" s="17">
        <f t="shared" si="2"/>
        <v>20.416666666666668</v>
      </c>
      <c r="R23" s="18">
        <f t="shared" si="3"/>
        <v>19.909722222222225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1">
        <v>17</v>
      </c>
      <c r="B24" s="12" t="s">
        <v>34</v>
      </c>
      <c r="C24" s="13">
        <v>88</v>
      </c>
      <c r="D24" s="13"/>
      <c r="E24" s="13"/>
      <c r="F24" s="13"/>
      <c r="G24" s="23">
        <v>90</v>
      </c>
      <c r="H24" s="14"/>
      <c r="I24" s="14"/>
      <c r="J24" s="14"/>
      <c r="K24" s="24">
        <v>85.666666666666671</v>
      </c>
      <c r="L24" s="15"/>
      <c r="M24" s="15"/>
      <c r="N24" s="15"/>
      <c r="O24" s="16">
        <f t="shared" si="0"/>
        <v>22</v>
      </c>
      <c r="P24" s="16">
        <f t="shared" si="1"/>
        <v>22.5</v>
      </c>
      <c r="Q24" s="17">
        <f t="shared" si="2"/>
        <v>21.416666666666668</v>
      </c>
      <c r="R24" s="18">
        <f t="shared" si="3"/>
        <v>21.972222222222225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0">
        <v>18</v>
      </c>
      <c r="B25" s="21" t="s">
        <v>35</v>
      </c>
      <c r="C25" s="22">
        <v>65</v>
      </c>
      <c r="D25" s="22"/>
      <c r="E25" s="22"/>
      <c r="F25" s="22"/>
      <c r="G25" s="26">
        <v>65</v>
      </c>
      <c r="H25" s="22"/>
      <c r="I25" s="22"/>
      <c r="J25" s="22"/>
      <c r="K25" s="26">
        <v>65</v>
      </c>
      <c r="L25" s="22"/>
      <c r="M25" s="22"/>
      <c r="N25" s="22"/>
      <c r="O25" s="16">
        <f t="shared" si="0"/>
        <v>16.25</v>
      </c>
      <c r="P25" s="16">
        <f t="shared" si="1"/>
        <v>16.25</v>
      </c>
      <c r="Q25" s="17">
        <f t="shared" si="2"/>
        <v>16.25</v>
      </c>
      <c r="R25" s="18">
        <f t="shared" si="3"/>
        <v>16.25</v>
      </c>
      <c r="S25" s="27"/>
      <c r="T25" s="27"/>
      <c r="U25" s="27"/>
      <c r="V25" s="27"/>
      <c r="W25" s="27"/>
      <c r="X25" s="27"/>
      <c r="Y25" s="27"/>
      <c r="Z25" s="27"/>
      <c r="AA25" s="27"/>
    </row>
    <row r="26" spans="1:27">
      <c r="A26" s="11">
        <v>19</v>
      </c>
      <c r="B26" s="12" t="s">
        <v>36</v>
      </c>
      <c r="C26" s="25">
        <v>90.75</v>
      </c>
      <c r="D26" s="13"/>
      <c r="E26" s="13"/>
      <c r="F26" s="13"/>
      <c r="G26" s="23">
        <v>91</v>
      </c>
      <c r="H26" s="14"/>
      <c r="I26" s="14"/>
      <c r="J26" s="14"/>
      <c r="K26" s="24">
        <v>92.333333333333329</v>
      </c>
      <c r="L26" s="15"/>
      <c r="M26" s="15"/>
      <c r="N26" s="15"/>
      <c r="O26" s="16">
        <f t="shared" si="0"/>
        <v>22.6875</v>
      </c>
      <c r="P26" s="16">
        <f t="shared" si="1"/>
        <v>22.75</v>
      </c>
      <c r="Q26" s="17">
        <f t="shared" si="2"/>
        <v>23.083333333333332</v>
      </c>
      <c r="R26" s="18">
        <f t="shared" si="3"/>
        <v>22.840277777777775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1">
        <v>20</v>
      </c>
      <c r="B27" s="12" t="s">
        <v>37</v>
      </c>
      <c r="C27" s="25">
        <v>85.5</v>
      </c>
      <c r="D27" s="13"/>
      <c r="E27" s="13"/>
      <c r="F27" s="13"/>
      <c r="G27" s="23">
        <v>86.333333333333329</v>
      </c>
      <c r="H27" s="14"/>
      <c r="I27" s="14"/>
      <c r="J27" s="14"/>
      <c r="K27" s="24">
        <v>88.666666666666671</v>
      </c>
      <c r="L27" s="15"/>
      <c r="M27" s="15"/>
      <c r="N27" s="15"/>
      <c r="O27" s="16">
        <f t="shared" si="0"/>
        <v>21.375</v>
      </c>
      <c r="P27" s="16">
        <f t="shared" si="1"/>
        <v>21.583333333333332</v>
      </c>
      <c r="Q27" s="17">
        <f t="shared" si="2"/>
        <v>22.166666666666668</v>
      </c>
      <c r="R27" s="18">
        <f t="shared" si="3"/>
        <v>21.708333333333332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1">
        <v>21</v>
      </c>
      <c r="B28" s="12" t="s">
        <v>38</v>
      </c>
      <c r="C28" s="13">
        <v>94</v>
      </c>
      <c r="D28" s="13"/>
      <c r="E28" s="13"/>
      <c r="F28" s="13"/>
      <c r="G28" s="23">
        <v>90.333333333333329</v>
      </c>
      <c r="H28" s="14"/>
      <c r="I28" s="14"/>
      <c r="J28" s="14"/>
      <c r="K28" s="24">
        <v>91.666666666666671</v>
      </c>
      <c r="L28" s="15"/>
      <c r="M28" s="15"/>
      <c r="N28" s="15"/>
      <c r="O28" s="16">
        <f t="shared" si="0"/>
        <v>23.5</v>
      </c>
      <c r="P28" s="16">
        <f t="shared" si="1"/>
        <v>22.583333333333332</v>
      </c>
      <c r="Q28" s="17">
        <f t="shared" si="2"/>
        <v>22.916666666666668</v>
      </c>
      <c r="R28" s="18">
        <f t="shared" si="3"/>
        <v>23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1">
        <v>22</v>
      </c>
      <c r="B29" s="12" t="s">
        <v>39</v>
      </c>
      <c r="C29" s="25">
        <v>60.75</v>
      </c>
      <c r="D29" s="13"/>
      <c r="E29" s="13"/>
      <c r="F29" s="13"/>
      <c r="G29" s="23">
        <v>62.333333333333336</v>
      </c>
      <c r="H29" s="14"/>
      <c r="I29" s="14"/>
      <c r="J29" s="14"/>
      <c r="K29" s="24">
        <v>61.333333333333336</v>
      </c>
      <c r="L29" s="15"/>
      <c r="M29" s="15"/>
      <c r="N29" s="15"/>
      <c r="O29" s="16">
        <f t="shared" si="0"/>
        <v>15.1875</v>
      </c>
      <c r="P29" s="16">
        <f t="shared" si="1"/>
        <v>15.583333333333334</v>
      </c>
      <c r="Q29" s="17">
        <f t="shared" si="2"/>
        <v>15.333333333333334</v>
      </c>
      <c r="R29" s="18">
        <f t="shared" si="3"/>
        <v>15.368055555555557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1">
        <v>23</v>
      </c>
      <c r="B30" s="12" t="s">
        <v>40</v>
      </c>
      <c r="C30" s="25">
        <v>61.25</v>
      </c>
      <c r="D30" s="13"/>
      <c r="E30" s="13"/>
      <c r="F30" s="13"/>
      <c r="G30" s="23">
        <v>63.666666666666664</v>
      </c>
      <c r="H30" s="14"/>
      <c r="I30" s="14"/>
      <c r="J30" s="14"/>
      <c r="K30" s="24">
        <v>62.666666666666664</v>
      </c>
      <c r="L30" s="15"/>
      <c r="M30" s="15"/>
      <c r="N30" s="15"/>
      <c r="O30" s="16">
        <f t="shared" si="0"/>
        <v>15.3125</v>
      </c>
      <c r="P30" s="16">
        <f t="shared" si="1"/>
        <v>15.916666666666666</v>
      </c>
      <c r="Q30" s="17">
        <f t="shared" si="2"/>
        <v>15.666666666666666</v>
      </c>
      <c r="R30" s="18">
        <f t="shared" si="3"/>
        <v>15.631944444444443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1">
        <v>24</v>
      </c>
      <c r="B31" s="12" t="s">
        <v>41</v>
      </c>
      <c r="C31" s="13">
        <v>72</v>
      </c>
      <c r="D31" s="13"/>
      <c r="E31" s="13"/>
      <c r="F31" s="13"/>
      <c r="G31" s="23">
        <v>76.333333333333329</v>
      </c>
      <c r="H31" s="14"/>
      <c r="I31" s="14"/>
      <c r="J31" s="14"/>
      <c r="K31" s="24">
        <v>76.666666666666671</v>
      </c>
      <c r="L31" s="15"/>
      <c r="M31" s="15"/>
      <c r="N31" s="15"/>
      <c r="O31" s="16">
        <f t="shared" si="0"/>
        <v>18</v>
      </c>
      <c r="P31" s="16">
        <f t="shared" si="1"/>
        <v>19.083333333333332</v>
      </c>
      <c r="Q31" s="17">
        <f t="shared" si="2"/>
        <v>19.166666666666668</v>
      </c>
      <c r="R31" s="18">
        <f t="shared" si="3"/>
        <v>18.75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1">
        <v>25</v>
      </c>
      <c r="B32" s="12" t="s">
        <v>42</v>
      </c>
      <c r="C32" s="25">
        <v>89.5</v>
      </c>
      <c r="D32" s="13"/>
      <c r="E32" s="13"/>
      <c r="F32" s="13"/>
      <c r="G32" s="23">
        <v>91</v>
      </c>
      <c r="H32" s="14"/>
      <c r="I32" s="14"/>
      <c r="J32" s="14"/>
      <c r="K32" s="24">
        <v>89.333333333333329</v>
      </c>
      <c r="L32" s="15"/>
      <c r="M32" s="15"/>
      <c r="N32" s="15"/>
      <c r="O32" s="16">
        <f t="shared" si="0"/>
        <v>22.375</v>
      </c>
      <c r="P32" s="16">
        <f t="shared" si="1"/>
        <v>22.75</v>
      </c>
      <c r="Q32" s="17">
        <f t="shared" si="2"/>
        <v>22.333333333333332</v>
      </c>
      <c r="R32" s="18">
        <f t="shared" si="3"/>
        <v>22.486111111111111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1">
        <v>26</v>
      </c>
      <c r="B33" s="12" t="s">
        <v>43</v>
      </c>
      <c r="C33" s="25">
        <v>96.75</v>
      </c>
      <c r="D33" s="13"/>
      <c r="E33" s="13"/>
      <c r="F33" s="13"/>
      <c r="G33" s="23">
        <v>97.666666666666671</v>
      </c>
      <c r="H33" s="14"/>
      <c r="I33" s="14"/>
      <c r="J33" s="14"/>
      <c r="K33" s="24">
        <v>98.666666666666671</v>
      </c>
      <c r="L33" s="15"/>
      <c r="M33" s="15"/>
      <c r="N33" s="15"/>
      <c r="O33" s="16">
        <f t="shared" si="0"/>
        <v>24.1875</v>
      </c>
      <c r="P33" s="16">
        <f t="shared" si="1"/>
        <v>24.416666666666668</v>
      </c>
      <c r="Q33" s="17">
        <f t="shared" si="2"/>
        <v>24.666666666666668</v>
      </c>
      <c r="R33" s="18">
        <f t="shared" si="3"/>
        <v>24.423611111111114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1">
        <v>27</v>
      </c>
      <c r="B34" s="12" t="s">
        <v>44</v>
      </c>
      <c r="C34" s="25">
        <v>88.75</v>
      </c>
      <c r="D34" s="13"/>
      <c r="E34" s="13"/>
      <c r="F34" s="13"/>
      <c r="G34" s="23">
        <v>89.666666666666671</v>
      </c>
      <c r="H34" s="14"/>
      <c r="I34" s="14"/>
      <c r="J34" s="14"/>
      <c r="K34" s="24">
        <v>89.333333333333329</v>
      </c>
      <c r="L34" s="15"/>
      <c r="M34" s="15"/>
      <c r="N34" s="15"/>
      <c r="O34" s="16">
        <f t="shared" si="0"/>
        <v>22.1875</v>
      </c>
      <c r="P34" s="16">
        <f t="shared" si="1"/>
        <v>22.416666666666668</v>
      </c>
      <c r="Q34" s="17">
        <f t="shared" si="2"/>
        <v>22.333333333333332</v>
      </c>
      <c r="R34" s="18">
        <f t="shared" si="3"/>
        <v>22.3125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1">
        <v>28</v>
      </c>
      <c r="B35" s="12" t="s">
        <v>45</v>
      </c>
      <c r="C35" s="25">
        <v>89.75</v>
      </c>
      <c r="D35" s="13"/>
      <c r="E35" s="13"/>
      <c r="F35" s="13"/>
      <c r="G35" s="23">
        <v>91.333333333333329</v>
      </c>
      <c r="H35" s="14"/>
      <c r="I35" s="14"/>
      <c r="J35" s="14"/>
      <c r="K35" s="24">
        <v>90.666666666666671</v>
      </c>
      <c r="L35" s="15"/>
      <c r="M35" s="15"/>
      <c r="N35" s="15"/>
      <c r="O35" s="16">
        <f t="shared" si="0"/>
        <v>22.4375</v>
      </c>
      <c r="P35" s="16">
        <f t="shared" si="1"/>
        <v>22.833333333333332</v>
      </c>
      <c r="Q35" s="17">
        <f t="shared" si="2"/>
        <v>22.666666666666668</v>
      </c>
      <c r="R35" s="18">
        <f t="shared" si="3"/>
        <v>22.645833333333332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1">
        <v>29</v>
      </c>
      <c r="B36" s="12" t="s">
        <v>46</v>
      </c>
      <c r="C36" s="25">
        <v>84</v>
      </c>
      <c r="D36" s="13"/>
      <c r="E36" s="13"/>
      <c r="F36" s="13"/>
      <c r="G36" s="23">
        <v>88.666666666666671</v>
      </c>
      <c r="H36" s="14"/>
      <c r="I36" s="14"/>
      <c r="J36" s="14"/>
      <c r="K36" s="24">
        <v>89.666666666666671</v>
      </c>
      <c r="L36" s="15"/>
      <c r="M36" s="15"/>
      <c r="N36" s="15"/>
      <c r="O36" s="16">
        <f t="shared" si="0"/>
        <v>21</v>
      </c>
      <c r="P36" s="16">
        <f t="shared" si="1"/>
        <v>22.166666666666668</v>
      </c>
      <c r="Q36" s="17">
        <f t="shared" si="2"/>
        <v>22.416666666666668</v>
      </c>
      <c r="R36" s="18">
        <f t="shared" si="3"/>
        <v>21.861111111111114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28"/>
      <c r="E37" s="1"/>
      <c r="F37" s="1"/>
    </row>
    <row r="38" spans="1:27" ht="15">
      <c r="A38" s="1"/>
      <c r="B38" s="1"/>
      <c r="C38" s="1"/>
      <c r="D38" s="1"/>
      <c r="E38" s="1"/>
      <c r="F38" s="1"/>
    </row>
    <row r="39" spans="1:27" ht="15">
      <c r="A39" s="1"/>
      <c r="B39" s="1"/>
      <c r="C39" s="1"/>
      <c r="D39" s="1"/>
      <c r="E39" s="1"/>
      <c r="F39" s="1"/>
    </row>
    <row r="40" spans="1:27" ht="15">
      <c r="A40" s="1"/>
      <c r="B40" s="1"/>
      <c r="C40" s="1"/>
      <c r="D40" s="1"/>
      <c r="E40" s="1"/>
      <c r="F40" s="1"/>
    </row>
    <row r="41" spans="1:27" ht="15">
      <c r="A41" s="1"/>
      <c r="B41" s="1"/>
      <c r="C41" s="1"/>
      <c r="D41" s="1"/>
      <c r="E41" s="1"/>
      <c r="F41" s="1"/>
    </row>
    <row r="42" spans="1:27" ht="15">
      <c r="A42" s="1"/>
      <c r="B42" s="1"/>
      <c r="C42" s="1"/>
      <c r="D42" s="1"/>
      <c r="E42" s="1"/>
      <c r="F42" s="1"/>
    </row>
    <row r="43" spans="1:27" ht="15">
      <c r="A43" s="1"/>
      <c r="B43" s="1"/>
      <c r="C43" s="1"/>
      <c r="D43" s="1"/>
      <c r="E43" s="1"/>
      <c r="F43" s="1"/>
    </row>
    <row r="44" spans="1:27" ht="15">
      <c r="A44" s="1"/>
      <c r="B44" s="1"/>
      <c r="C44" s="1"/>
      <c r="D44" s="1"/>
      <c r="E44" s="1"/>
      <c r="F44" s="1"/>
    </row>
    <row r="45" spans="1:27" ht="15">
      <c r="A45" s="1"/>
      <c r="B45" s="1"/>
      <c r="C45" s="1"/>
      <c r="D45" s="1"/>
      <c r="E45" s="1"/>
      <c r="F45" s="1"/>
    </row>
    <row r="46" spans="1:27" ht="15">
      <c r="A46" s="1"/>
      <c r="B46" s="1"/>
      <c r="C46" s="1"/>
      <c r="D46" s="1"/>
      <c r="E46" s="1"/>
      <c r="F46" s="1"/>
    </row>
    <row r="47" spans="1:27" ht="15">
      <c r="A47" s="1"/>
      <c r="B47" s="1"/>
      <c r="C47" s="1"/>
      <c r="D47" s="1"/>
      <c r="E47" s="1"/>
      <c r="F47" s="1"/>
    </row>
    <row r="48" spans="1:27" ht="15">
      <c r="A48" s="1"/>
      <c r="B48" s="1"/>
      <c r="C48" s="1"/>
      <c r="D48" s="1"/>
      <c r="E48" s="1"/>
      <c r="F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8">
    <mergeCell ref="A1:A7"/>
    <mergeCell ref="B1:B7"/>
    <mergeCell ref="R1:R7"/>
    <mergeCell ref="O5:Q6"/>
    <mergeCell ref="K5:N6"/>
    <mergeCell ref="G5:J6"/>
    <mergeCell ref="C5:F6"/>
    <mergeCell ref="C1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8"/>
  <sheetViews>
    <sheetView workbookViewId="0">
      <pane xSplit="2" topLeftCell="C1" activePane="topRight" state="frozen"/>
      <selection pane="topRight" activeCell="L8" sqref="L8:N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14" width="4.7109375" customWidth="1"/>
    <col min="15" max="17" width="7.85546875" customWidth="1"/>
    <col min="18" max="18" width="12.28515625" customWidth="1"/>
  </cols>
  <sheetData>
    <row r="1" spans="1:27" ht="15.75" customHeight="1">
      <c r="A1" s="40" t="s">
        <v>0</v>
      </c>
      <c r="B1" s="42" t="s">
        <v>1</v>
      </c>
      <c r="C1" s="55" t="s">
        <v>47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5" t="s">
        <v>3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1"/>
      <c r="B2" s="43"/>
      <c r="C2" s="5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57"/>
      <c r="R2" s="43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41"/>
      <c r="B3" s="43"/>
      <c r="C3" s="56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7"/>
      <c r="R3" s="43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/>
      <c r="B4" s="43"/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43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/>
      <c r="B5" s="43"/>
      <c r="C5" s="54" t="s">
        <v>4</v>
      </c>
      <c r="D5" s="47"/>
      <c r="E5" s="47"/>
      <c r="F5" s="48"/>
      <c r="G5" s="53" t="s">
        <v>5</v>
      </c>
      <c r="H5" s="47"/>
      <c r="I5" s="47"/>
      <c r="J5" s="48"/>
      <c r="K5" s="52" t="s">
        <v>6</v>
      </c>
      <c r="L5" s="47"/>
      <c r="M5" s="47"/>
      <c r="N5" s="48"/>
      <c r="O5" s="46" t="s">
        <v>7</v>
      </c>
      <c r="P5" s="47"/>
      <c r="Q5" s="48"/>
      <c r="R5" s="43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41"/>
      <c r="B6" s="43"/>
      <c r="C6" s="49"/>
      <c r="D6" s="50"/>
      <c r="E6" s="50"/>
      <c r="F6" s="51"/>
      <c r="G6" s="49"/>
      <c r="H6" s="50"/>
      <c r="I6" s="50"/>
      <c r="J6" s="51"/>
      <c r="K6" s="49"/>
      <c r="L6" s="50"/>
      <c r="M6" s="50"/>
      <c r="N6" s="51"/>
      <c r="O6" s="49"/>
      <c r="P6" s="50"/>
      <c r="Q6" s="51"/>
      <c r="R6" s="43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41"/>
      <c r="B7" s="44"/>
      <c r="C7" s="2" t="s">
        <v>8</v>
      </c>
      <c r="D7" s="3" t="s">
        <v>12</v>
      </c>
      <c r="E7" s="3" t="s">
        <v>13</v>
      </c>
      <c r="F7" s="5" t="s">
        <v>14</v>
      </c>
      <c r="G7" s="6" t="s">
        <v>8</v>
      </c>
      <c r="H7" s="6" t="s">
        <v>12</v>
      </c>
      <c r="I7" s="6" t="s">
        <v>13</v>
      </c>
      <c r="J7" s="6" t="s">
        <v>14</v>
      </c>
      <c r="K7" s="7" t="s">
        <v>8</v>
      </c>
      <c r="L7" s="7" t="s">
        <v>12</v>
      </c>
      <c r="M7" s="7" t="s">
        <v>13</v>
      </c>
      <c r="N7" s="7" t="s">
        <v>14</v>
      </c>
      <c r="O7" s="8" t="s">
        <v>15</v>
      </c>
      <c r="P7" s="9" t="s">
        <v>16</v>
      </c>
      <c r="Q7" s="10" t="s">
        <v>17</v>
      </c>
      <c r="R7" s="44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1">
        <v>1</v>
      </c>
      <c r="B8" s="12" t="s">
        <v>18</v>
      </c>
      <c r="C8" s="25">
        <v>90</v>
      </c>
      <c r="D8" s="13">
        <v>82</v>
      </c>
      <c r="E8" s="13">
        <v>85</v>
      </c>
      <c r="F8" s="13">
        <v>89</v>
      </c>
      <c r="G8" s="14">
        <v>85</v>
      </c>
      <c r="H8" s="14">
        <v>82</v>
      </c>
      <c r="I8" s="14">
        <v>85</v>
      </c>
      <c r="J8" s="14">
        <v>89</v>
      </c>
      <c r="K8" s="24">
        <v>87.5</v>
      </c>
      <c r="L8" s="15">
        <v>82</v>
      </c>
      <c r="M8" s="15">
        <v>85</v>
      </c>
      <c r="N8" s="15">
        <v>89</v>
      </c>
      <c r="O8" s="16">
        <f t="shared" ref="O8:O36" si="0">(C8+D8+E8+F8)/4</f>
        <v>86.5</v>
      </c>
      <c r="P8" s="16">
        <f t="shared" ref="P8:P36" si="1">(G8+H8+I8+J8)/4</f>
        <v>85.25</v>
      </c>
      <c r="Q8" s="17">
        <f t="shared" ref="Q8:Q36" si="2">(K8+L8+M8+N8)/4</f>
        <v>85.875</v>
      </c>
      <c r="R8" s="18">
        <f t="shared" ref="R8:R36" si="3">SUM(O8:Q8)/3</f>
        <v>85.875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1">
        <v>2</v>
      </c>
      <c r="B9" s="12" t="s">
        <v>19</v>
      </c>
      <c r="C9" s="25">
        <v>62.5</v>
      </c>
      <c r="D9" s="13"/>
      <c r="E9" s="13"/>
      <c r="F9" s="13"/>
      <c r="G9" s="23">
        <v>61</v>
      </c>
      <c r="H9" s="14"/>
      <c r="I9" s="14"/>
      <c r="J9" s="14"/>
      <c r="K9" s="24">
        <v>62</v>
      </c>
      <c r="L9" s="15"/>
      <c r="M9" s="15"/>
      <c r="N9" s="15"/>
      <c r="O9" s="16">
        <f t="shared" si="0"/>
        <v>15.625</v>
      </c>
      <c r="P9" s="16">
        <f t="shared" si="1"/>
        <v>15.25</v>
      </c>
      <c r="Q9" s="17">
        <f t="shared" si="2"/>
        <v>15.5</v>
      </c>
      <c r="R9" s="18">
        <f t="shared" si="3"/>
        <v>15.458333333333334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1">
        <v>3</v>
      </c>
      <c r="B10" s="12" t="s">
        <v>20</v>
      </c>
      <c r="C10" s="25">
        <v>100</v>
      </c>
      <c r="D10" s="13"/>
      <c r="E10" s="13"/>
      <c r="F10" s="13"/>
      <c r="G10" s="14">
        <v>100</v>
      </c>
      <c r="H10" s="14"/>
      <c r="I10" s="14"/>
      <c r="J10" s="14"/>
      <c r="K10" s="15">
        <v>100</v>
      </c>
      <c r="L10" s="15"/>
      <c r="M10" s="15"/>
      <c r="N10" s="15"/>
      <c r="O10" s="16">
        <f t="shared" si="0"/>
        <v>25</v>
      </c>
      <c r="P10" s="16">
        <f t="shared" si="1"/>
        <v>25</v>
      </c>
      <c r="Q10" s="17">
        <f t="shared" si="2"/>
        <v>25</v>
      </c>
      <c r="R10" s="18">
        <f t="shared" si="3"/>
        <v>25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1">
        <v>4</v>
      </c>
      <c r="B11" s="12" t="s">
        <v>21</v>
      </c>
      <c r="C11" s="25">
        <v>86.5</v>
      </c>
      <c r="D11" s="13"/>
      <c r="E11" s="13"/>
      <c r="F11" s="13"/>
      <c r="G11" s="23">
        <v>83.5</v>
      </c>
      <c r="H11" s="14"/>
      <c r="I11" s="14"/>
      <c r="J11" s="14"/>
      <c r="K11" s="15">
        <v>85</v>
      </c>
      <c r="L11" s="15"/>
      <c r="M11" s="15"/>
      <c r="N11" s="15"/>
      <c r="O11" s="16">
        <f t="shared" si="0"/>
        <v>21.625</v>
      </c>
      <c r="P11" s="16">
        <f t="shared" si="1"/>
        <v>20.875</v>
      </c>
      <c r="Q11" s="17">
        <f t="shared" si="2"/>
        <v>21.25</v>
      </c>
      <c r="R11" s="18">
        <f t="shared" si="3"/>
        <v>21.25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1">
        <v>5</v>
      </c>
      <c r="B12" s="12" t="s">
        <v>22</v>
      </c>
      <c r="C12" s="25">
        <v>64</v>
      </c>
      <c r="D12" s="13"/>
      <c r="E12" s="13"/>
      <c r="F12" s="13"/>
      <c r="G12" s="23">
        <v>61.5</v>
      </c>
      <c r="H12" s="14"/>
      <c r="I12" s="14"/>
      <c r="J12" s="14"/>
      <c r="K12" s="24">
        <v>62.5</v>
      </c>
      <c r="L12" s="15"/>
      <c r="M12" s="15"/>
      <c r="N12" s="15"/>
      <c r="O12" s="16">
        <f t="shared" si="0"/>
        <v>16</v>
      </c>
      <c r="P12" s="16">
        <f t="shared" si="1"/>
        <v>15.375</v>
      </c>
      <c r="Q12" s="17">
        <f t="shared" si="2"/>
        <v>15.625</v>
      </c>
      <c r="R12" s="18">
        <f t="shared" si="3"/>
        <v>15.666666666666666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1">
        <v>6</v>
      </c>
      <c r="B13" s="12" t="s">
        <v>23</v>
      </c>
      <c r="C13" s="25">
        <v>62.5</v>
      </c>
      <c r="D13" s="13"/>
      <c r="E13" s="13"/>
      <c r="F13" s="13"/>
      <c r="G13" s="23">
        <v>62.5</v>
      </c>
      <c r="H13" s="14"/>
      <c r="I13" s="14"/>
      <c r="J13" s="14"/>
      <c r="K13" s="15">
        <v>64</v>
      </c>
      <c r="L13" s="15"/>
      <c r="M13" s="15"/>
      <c r="N13" s="15"/>
      <c r="O13" s="16">
        <f t="shared" si="0"/>
        <v>15.625</v>
      </c>
      <c r="P13" s="16">
        <f t="shared" si="1"/>
        <v>15.625</v>
      </c>
      <c r="Q13" s="17">
        <f t="shared" si="2"/>
        <v>16</v>
      </c>
      <c r="R13" s="18">
        <f t="shared" si="3"/>
        <v>15.75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>
        <v>7</v>
      </c>
      <c r="B14" s="12" t="s">
        <v>24</v>
      </c>
      <c r="C14" s="25">
        <v>89</v>
      </c>
      <c r="D14" s="13"/>
      <c r="E14" s="13"/>
      <c r="F14" s="13"/>
      <c r="G14" s="14">
        <v>88</v>
      </c>
      <c r="H14" s="14"/>
      <c r="I14" s="14"/>
      <c r="J14" s="14"/>
      <c r="K14" s="15">
        <v>87</v>
      </c>
      <c r="L14" s="15"/>
      <c r="M14" s="15"/>
      <c r="N14" s="15"/>
      <c r="O14" s="16">
        <f t="shared" si="0"/>
        <v>22.25</v>
      </c>
      <c r="P14" s="16">
        <f t="shared" si="1"/>
        <v>22</v>
      </c>
      <c r="Q14" s="17">
        <f t="shared" si="2"/>
        <v>21.75</v>
      </c>
      <c r="R14" s="18">
        <f t="shared" si="3"/>
        <v>22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1">
        <v>8</v>
      </c>
      <c r="B15" s="12" t="s">
        <v>25</v>
      </c>
      <c r="C15" s="25">
        <v>60.5</v>
      </c>
      <c r="D15" s="13"/>
      <c r="E15" s="13"/>
      <c r="F15" s="13"/>
      <c r="G15" s="23">
        <v>61.5</v>
      </c>
      <c r="H15" s="14"/>
      <c r="I15" s="14"/>
      <c r="J15" s="14"/>
      <c r="K15" s="15">
        <v>62</v>
      </c>
      <c r="L15" s="15"/>
      <c r="M15" s="15"/>
      <c r="N15" s="15"/>
      <c r="O15" s="16">
        <f t="shared" si="0"/>
        <v>15.125</v>
      </c>
      <c r="P15" s="16">
        <f t="shared" si="1"/>
        <v>15.375</v>
      </c>
      <c r="Q15" s="17">
        <f t="shared" si="2"/>
        <v>15.5</v>
      </c>
      <c r="R15" s="18">
        <f t="shared" si="3"/>
        <v>15.333333333333334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1">
        <v>9</v>
      </c>
      <c r="B16" s="12" t="s">
        <v>26</v>
      </c>
      <c r="C16" s="25">
        <v>96</v>
      </c>
      <c r="D16" s="13"/>
      <c r="E16" s="13"/>
      <c r="F16" s="13"/>
      <c r="G16" s="14">
        <v>95</v>
      </c>
      <c r="H16" s="14"/>
      <c r="I16" s="14"/>
      <c r="J16" s="14"/>
      <c r="K16" s="15">
        <v>94</v>
      </c>
      <c r="L16" s="15"/>
      <c r="M16" s="15"/>
      <c r="N16" s="15"/>
      <c r="O16" s="16">
        <f t="shared" si="0"/>
        <v>24</v>
      </c>
      <c r="P16" s="16">
        <f t="shared" si="1"/>
        <v>23.75</v>
      </c>
      <c r="Q16" s="17">
        <f t="shared" si="2"/>
        <v>23.5</v>
      </c>
      <c r="R16" s="18">
        <f t="shared" si="3"/>
        <v>23.75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1">
        <v>10</v>
      </c>
      <c r="B17" s="12" t="s">
        <v>27</v>
      </c>
      <c r="C17" s="25">
        <v>100</v>
      </c>
      <c r="D17" s="13"/>
      <c r="E17" s="13"/>
      <c r="F17" s="13"/>
      <c r="G17" s="23">
        <v>98.5</v>
      </c>
      <c r="H17" s="14"/>
      <c r="I17" s="14"/>
      <c r="J17" s="14"/>
      <c r="K17" s="24">
        <v>98</v>
      </c>
      <c r="L17" s="15"/>
      <c r="M17" s="15"/>
      <c r="N17" s="15"/>
      <c r="O17" s="16">
        <f t="shared" si="0"/>
        <v>25</v>
      </c>
      <c r="P17" s="16">
        <f t="shared" si="1"/>
        <v>24.625</v>
      </c>
      <c r="Q17" s="17">
        <f t="shared" si="2"/>
        <v>24.5</v>
      </c>
      <c r="R17" s="18">
        <f t="shared" si="3"/>
        <v>24.708333333333332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11">
        <v>11</v>
      </c>
      <c r="B18" s="12" t="s">
        <v>28</v>
      </c>
      <c r="C18" s="25">
        <v>90</v>
      </c>
      <c r="D18" s="13"/>
      <c r="E18" s="13"/>
      <c r="F18" s="13"/>
      <c r="G18" s="14">
        <v>91</v>
      </c>
      <c r="H18" s="14"/>
      <c r="I18" s="14"/>
      <c r="J18" s="14"/>
      <c r="K18" s="15">
        <v>96</v>
      </c>
      <c r="L18" s="15"/>
      <c r="M18" s="15"/>
      <c r="N18" s="15"/>
      <c r="O18" s="16">
        <f t="shared" si="0"/>
        <v>22.5</v>
      </c>
      <c r="P18" s="16">
        <f t="shared" si="1"/>
        <v>22.75</v>
      </c>
      <c r="Q18" s="17">
        <f t="shared" si="2"/>
        <v>24</v>
      </c>
      <c r="R18" s="18">
        <f t="shared" si="3"/>
        <v>23.083333333333332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1">
        <v>12</v>
      </c>
      <c r="B19" s="12" t="s">
        <v>29</v>
      </c>
      <c r="C19" s="25">
        <v>61.5</v>
      </c>
      <c r="D19" s="13"/>
      <c r="E19" s="13"/>
      <c r="F19" s="13"/>
      <c r="G19" s="23">
        <v>63.5</v>
      </c>
      <c r="H19" s="14"/>
      <c r="I19" s="14"/>
      <c r="J19" s="14"/>
      <c r="K19" s="24">
        <v>63.5</v>
      </c>
      <c r="L19" s="15"/>
      <c r="M19" s="15"/>
      <c r="N19" s="15"/>
      <c r="O19" s="16">
        <f t="shared" si="0"/>
        <v>15.375</v>
      </c>
      <c r="P19" s="16">
        <f t="shared" si="1"/>
        <v>15.875</v>
      </c>
      <c r="Q19" s="17">
        <f t="shared" si="2"/>
        <v>15.875</v>
      </c>
      <c r="R19" s="18">
        <f t="shared" si="3"/>
        <v>15.708333333333334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1">
        <v>13</v>
      </c>
      <c r="B20" s="12" t="s">
        <v>30</v>
      </c>
      <c r="C20" s="25">
        <v>96</v>
      </c>
      <c r="D20" s="13"/>
      <c r="E20" s="13"/>
      <c r="F20" s="13"/>
      <c r="G20" s="23">
        <v>93.5</v>
      </c>
      <c r="H20" s="14"/>
      <c r="I20" s="14"/>
      <c r="J20" s="14"/>
      <c r="K20" s="15">
        <v>96</v>
      </c>
      <c r="L20" s="15"/>
      <c r="M20" s="15"/>
      <c r="N20" s="15"/>
      <c r="O20" s="16">
        <f t="shared" si="0"/>
        <v>24</v>
      </c>
      <c r="P20" s="16">
        <f t="shared" si="1"/>
        <v>23.375</v>
      </c>
      <c r="Q20" s="17">
        <f t="shared" si="2"/>
        <v>24</v>
      </c>
      <c r="R20" s="18">
        <f t="shared" si="3"/>
        <v>23.791666666666668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1">
        <v>14</v>
      </c>
      <c r="B21" s="12" t="s">
        <v>31</v>
      </c>
      <c r="C21" s="25">
        <v>89</v>
      </c>
      <c r="D21" s="13"/>
      <c r="E21" s="13"/>
      <c r="F21" s="13"/>
      <c r="G21" s="23">
        <v>89.5</v>
      </c>
      <c r="H21" s="14"/>
      <c r="I21" s="14"/>
      <c r="J21" s="14"/>
      <c r="K21" s="24">
        <v>88.5</v>
      </c>
      <c r="L21" s="15"/>
      <c r="M21" s="15"/>
      <c r="N21" s="15"/>
      <c r="O21" s="16">
        <f t="shared" si="0"/>
        <v>22.25</v>
      </c>
      <c r="P21" s="16">
        <f t="shared" si="1"/>
        <v>22.375</v>
      </c>
      <c r="Q21" s="17">
        <f t="shared" si="2"/>
        <v>22.125</v>
      </c>
      <c r="R21" s="18">
        <f t="shared" si="3"/>
        <v>22.25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1">
        <v>15</v>
      </c>
      <c r="B22" s="12" t="s">
        <v>32</v>
      </c>
      <c r="C22" s="25">
        <v>83.5</v>
      </c>
      <c r="D22" s="13"/>
      <c r="E22" s="13"/>
      <c r="F22" s="13"/>
      <c r="G22" s="23">
        <v>86.5</v>
      </c>
      <c r="H22" s="14"/>
      <c r="I22" s="14"/>
      <c r="J22" s="14"/>
      <c r="K22" s="15">
        <v>83</v>
      </c>
      <c r="L22" s="15"/>
      <c r="M22" s="15"/>
      <c r="N22" s="15"/>
      <c r="O22" s="16">
        <f t="shared" si="0"/>
        <v>20.875</v>
      </c>
      <c r="P22" s="16">
        <f t="shared" si="1"/>
        <v>21.625</v>
      </c>
      <c r="Q22" s="17">
        <f t="shared" si="2"/>
        <v>20.75</v>
      </c>
      <c r="R22" s="18">
        <f t="shared" si="3"/>
        <v>21.083333333333332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1">
        <v>16</v>
      </c>
      <c r="B23" s="12" t="s">
        <v>33</v>
      </c>
      <c r="C23" s="25">
        <v>81</v>
      </c>
      <c r="D23" s="13"/>
      <c r="E23" s="13"/>
      <c r="F23" s="13"/>
      <c r="G23" s="23">
        <v>81.5</v>
      </c>
      <c r="H23" s="14"/>
      <c r="I23" s="14"/>
      <c r="J23" s="14"/>
      <c r="K23" s="24">
        <v>79.5</v>
      </c>
      <c r="L23" s="15"/>
      <c r="M23" s="15"/>
      <c r="N23" s="15"/>
      <c r="O23" s="16">
        <f t="shared" si="0"/>
        <v>20.25</v>
      </c>
      <c r="P23" s="16">
        <f t="shared" si="1"/>
        <v>20.375</v>
      </c>
      <c r="Q23" s="17">
        <f t="shared" si="2"/>
        <v>19.875</v>
      </c>
      <c r="R23" s="18">
        <f t="shared" si="3"/>
        <v>20.166666666666668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1">
        <v>17</v>
      </c>
      <c r="B24" s="12" t="s">
        <v>34</v>
      </c>
      <c r="C24" s="25">
        <v>90.5</v>
      </c>
      <c r="D24" s="13"/>
      <c r="E24" s="13"/>
      <c r="F24" s="13"/>
      <c r="G24" s="23">
        <v>86.5</v>
      </c>
      <c r="H24" s="14"/>
      <c r="I24" s="14"/>
      <c r="J24" s="14"/>
      <c r="K24" s="24">
        <v>87.5</v>
      </c>
      <c r="L24" s="15"/>
      <c r="M24" s="15"/>
      <c r="N24" s="15"/>
      <c r="O24" s="16">
        <f t="shared" si="0"/>
        <v>22.625</v>
      </c>
      <c r="P24" s="16">
        <f t="shared" si="1"/>
        <v>21.625</v>
      </c>
      <c r="Q24" s="17">
        <f t="shared" si="2"/>
        <v>21.875</v>
      </c>
      <c r="R24" s="18">
        <f t="shared" si="3"/>
        <v>22.041666666666668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9">
        <v>18</v>
      </c>
      <c r="B25" s="30" t="s">
        <v>35</v>
      </c>
      <c r="C25" s="31">
        <v>65</v>
      </c>
      <c r="D25" s="32"/>
      <c r="E25" s="32"/>
      <c r="F25" s="32"/>
      <c r="G25" s="32">
        <v>65</v>
      </c>
      <c r="H25" s="32"/>
      <c r="I25" s="32"/>
      <c r="J25" s="32"/>
      <c r="K25" s="32">
        <v>65</v>
      </c>
      <c r="L25" s="32"/>
      <c r="M25" s="32"/>
      <c r="N25" s="32"/>
      <c r="O25" s="16">
        <f t="shared" si="0"/>
        <v>16.25</v>
      </c>
      <c r="P25" s="16">
        <f t="shared" si="1"/>
        <v>16.25</v>
      </c>
      <c r="Q25" s="17">
        <f t="shared" si="2"/>
        <v>16.25</v>
      </c>
      <c r="R25" s="18">
        <f t="shared" si="3"/>
        <v>16.25</v>
      </c>
      <c r="S25" s="33"/>
      <c r="T25" s="33"/>
      <c r="U25" s="33"/>
      <c r="V25" s="33"/>
      <c r="W25" s="33"/>
      <c r="X25" s="33"/>
      <c r="Y25" s="33"/>
      <c r="Z25" s="33"/>
      <c r="AA25" s="33"/>
    </row>
    <row r="26" spans="1:27">
      <c r="A26" s="11">
        <v>19</v>
      </c>
      <c r="B26" s="12" t="s">
        <v>36</v>
      </c>
      <c r="C26" s="25">
        <v>89.5</v>
      </c>
      <c r="D26" s="13"/>
      <c r="E26" s="13"/>
      <c r="F26" s="13"/>
      <c r="G26" s="23">
        <v>92.5</v>
      </c>
      <c r="H26" s="14"/>
      <c r="I26" s="14"/>
      <c r="J26" s="14"/>
      <c r="K26" s="15">
        <v>93</v>
      </c>
      <c r="L26" s="15"/>
      <c r="M26" s="15"/>
      <c r="N26" s="15"/>
      <c r="O26" s="16">
        <f t="shared" si="0"/>
        <v>22.375</v>
      </c>
      <c r="P26" s="16">
        <f t="shared" si="1"/>
        <v>23.125</v>
      </c>
      <c r="Q26" s="17">
        <f t="shared" si="2"/>
        <v>23.25</v>
      </c>
      <c r="R26" s="18">
        <f t="shared" si="3"/>
        <v>22.916666666666668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1">
        <v>20</v>
      </c>
      <c r="B27" s="12" t="s">
        <v>37</v>
      </c>
      <c r="C27" s="25">
        <v>89</v>
      </c>
      <c r="D27" s="13"/>
      <c r="E27" s="13"/>
      <c r="F27" s="13"/>
      <c r="G27" s="23">
        <v>89.5</v>
      </c>
      <c r="H27" s="14"/>
      <c r="I27" s="14"/>
      <c r="J27" s="14"/>
      <c r="K27" s="24">
        <v>88.5</v>
      </c>
      <c r="L27" s="15"/>
      <c r="M27" s="15"/>
      <c r="N27" s="15"/>
      <c r="O27" s="16">
        <f t="shared" si="0"/>
        <v>22.25</v>
      </c>
      <c r="P27" s="16">
        <f t="shared" si="1"/>
        <v>22.375</v>
      </c>
      <c r="Q27" s="17">
        <f t="shared" si="2"/>
        <v>22.125</v>
      </c>
      <c r="R27" s="18">
        <f t="shared" si="3"/>
        <v>22.25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1">
        <v>21</v>
      </c>
      <c r="B28" s="12" t="s">
        <v>38</v>
      </c>
      <c r="C28" s="25">
        <v>91</v>
      </c>
      <c r="D28" s="13"/>
      <c r="E28" s="13"/>
      <c r="F28" s="13"/>
      <c r="G28" s="14">
        <v>94</v>
      </c>
      <c r="H28" s="14"/>
      <c r="I28" s="14"/>
      <c r="J28" s="14"/>
      <c r="K28" s="15">
        <v>91</v>
      </c>
      <c r="L28" s="15"/>
      <c r="M28" s="15"/>
      <c r="N28" s="15"/>
      <c r="O28" s="16">
        <f t="shared" si="0"/>
        <v>22.75</v>
      </c>
      <c r="P28" s="16">
        <f t="shared" si="1"/>
        <v>23.5</v>
      </c>
      <c r="Q28" s="17">
        <f t="shared" si="2"/>
        <v>22.75</v>
      </c>
      <c r="R28" s="18">
        <f t="shared" si="3"/>
        <v>23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1">
        <v>22</v>
      </c>
      <c r="B29" s="12" t="s">
        <v>39</v>
      </c>
      <c r="C29" s="25">
        <v>61.5</v>
      </c>
      <c r="D29" s="13"/>
      <c r="E29" s="13"/>
      <c r="F29" s="13"/>
      <c r="G29" s="23">
        <v>62.5</v>
      </c>
      <c r="H29" s="14"/>
      <c r="I29" s="14"/>
      <c r="J29" s="14"/>
      <c r="K29" s="24">
        <v>61.5</v>
      </c>
      <c r="L29" s="15"/>
      <c r="M29" s="15"/>
      <c r="N29" s="15"/>
      <c r="O29" s="16">
        <f t="shared" si="0"/>
        <v>15.375</v>
      </c>
      <c r="P29" s="16">
        <f t="shared" si="1"/>
        <v>15.625</v>
      </c>
      <c r="Q29" s="17">
        <f t="shared" si="2"/>
        <v>15.375</v>
      </c>
      <c r="R29" s="18">
        <f t="shared" si="3"/>
        <v>15.458333333333334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1">
        <v>23</v>
      </c>
      <c r="B30" s="12" t="s">
        <v>40</v>
      </c>
      <c r="C30" s="25">
        <v>62.5</v>
      </c>
      <c r="D30" s="13"/>
      <c r="E30" s="13"/>
      <c r="F30" s="13"/>
      <c r="G30" s="14">
        <v>62</v>
      </c>
      <c r="H30" s="14"/>
      <c r="I30" s="14"/>
      <c r="J30" s="14"/>
      <c r="K30" s="24">
        <v>60.5</v>
      </c>
      <c r="L30" s="15"/>
      <c r="M30" s="15"/>
      <c r="N30" s="15"/>
      <c r="O30" s="16">
        <f t="shared" si="0"/>
        <v>15.625</v>
      </c>
      <c r="P30" s="16">
        <f t="shared" si="1"/>
        <v>15.5</v>
      </c>
      <c r="Q30" s="17">
        <f t="shared" si="2"/>
        <v>15.125</v>
      </c>
      <c r="R30" s="18">
        <f t="shared" si="3"/>
        <v>15.416666666666666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1">
        <v>24</v>
      </c>
      <c r="B31" s="12" t="s">
        <v>41</v>
      </c>
      <c r="C31" s="25">
        <v>68</v>
      </c>
      <c r="D31" s="13"/>
      <c r="E31" s="13"/>
      <c r="F31" s="13"/>
      <c r="G31" s="14">
        <v>69</v>
      </c>
      <c r="H31" s="14"/>
      <c r="I31" s="14"/>
      <c r="J31" s="14"/>
      <c r="K31" s="24">
        <v>73</v>
      </c>
      <c r="L31" s="15"/>
      <c r="M31" s="15"/>
      <c r="N31" s="15"/>
      <c r="O31" s="16">
        <f t="shared" si="0"/>
        <v>17</v>
      </c>
      <c r="P31" s="16">
        <f t="shared" si="1"/>
        <v>17.25</v>
      </c>
      <c r="Q31" s="17">
        <f t="shared" si="2"/>
        <v>18.25</v>
      </c>
      <c r="R31" s="18">
        <f t="shared" si="3"/>
        <v>17.5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1">
        <v>25</v>
      </c>
      <c r="B32" s="12" t="s">
        <v>42</v>
      </c>
      <c r="C32" s="25">
        <v>89</v>
      </c>
      <c r="D32" s="13"/>
      <c r="E32" s="13"/>
      <c r="F32" s="13"/>
      <c r="G32" s="14">
        <v>90</v>
      </c>
      <c r="H32" s="14"/>
      <c r="I32" s="14"/>
      <c r="J32" s="14"/>
      <c r="K32" s="15">
        <v>93</v>
      </c>
      <c r="L32" s="15"/>
      <c r="M32" s="15"/>
      <c r="N32" s="15"/>
      <c r="O32" s="16">
        <f t="shared" si="0"/>
        <v>22.25</v>
      </c>
      <c r="P32" s="16">
        <f t="shared" si="1"/>
        <v>22.5</v>
      </c>
      <c r="Q32" s="17">
        <f t="shared" si="2"/>
        <v>23.25</v>
      </c>
      <c r="R32" s="18">
        <f t="shared" si="3"/>
        <v>22.666666666666668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1">
        <v>26</v>
      </c>
      <c r="B33" s="12" t="s">
        <v>43</v>
      </c>
      <c r="C33" s="25">
        <v>97</v>
      </c>
      <c r="D33" s="13"/>
      <c r="E33" s="13"/>
      <c r="F33" s="13"/>
      <c r="G33" s="23">
        <v>97.5</v>
      </c>
      <c r="H33" s="14"/>
      <c r="I33" s="14"/>
      <c r="J33" s="14"/>
      <c r="K33" s="24">
        <v>98.5</v>
      </c>
      <c r="L33" s="15"/>
      <c r="M33" s="15"/>
      <c r="N33" s="15"/>
      <c r="O33" s="16">
        <f t="shared" si="0"/>
        <v>24.25</v>
      </c>
      <c r="P33" s="16">
        <f t="shared" si="1"/>
        <v>24.375</v>
      </c>
      <c r="Q33" s="17">
        <f t="shared" si="2"/>
        <v>24.625</v>
      </c>
      <c r="R33" s="18">
        <f t="shared" si="3"/>
        <v>24.416666666666668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1">
        <v>27</v>
      </c>
      <c r="B34" s="12" t="s">
        <v>44</v>
      </c>
      <c r="C34" s="25">
        <v>89.5</v>
      </c>
      <c r="D34" s="13"/>
      <c r="E34" s="13"/>
      <c r="F34" s="13"/>
      <c r="G34" s="23">
        <v>89.5</v>
      </c>
      <c r="H34" s="14"/>
      <c r="I34" s="14"/>
      <c r="J34" s="14"/>
      <c r="K34" s="15">
        <v>90</v>
      </c>
      <c r="L34" s="15"/>
      <c r="M34" s="15"/>
      <c r="N34" s="15"/>
      <c r="O34" s="16">
        <f t="shared" si="0"/>
        <v>22.375</v>
      </c>
      <c r="P34" s="16">
        <f t="shared" si="1"/>
        <v>22.375</v>
      </c>
      <c r="Q34" s="17">
        <f t="shared" si="2"/>
        <v>22.5</v>
      </c>
      <c r="R34" s="18">
        <f t="shared" si="3"/>
        <v>22.416666666666668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1">
        <v>28</v>
      </c>
      <c r="B35" s="12" t="s">
        <v>45</v>
      </c>
      <c r="C35" s="25">
        <v>90.5</v>
      </c>
      <c r="D35" s="13"/>
      <c r="E35" s="13"/>
      <c r="F35" s="13"/>
      <c r="G35" s="23">
        <v>91.5</v>
      </c>
      <c r="H35" s="14"/>
      <c r="I35" s="14"/>
      <c r="J35" s="14"/>
      <c r="K35" s="15">
        <v>90</v>
      </c>
      <c r="L35" s="15"/>
      <c r="M35" s="15"/>
      <c r="N35" s="15"/>
      <c r="O35" s="16">
        <f t="shared" si="0"/>
        <v>22.625</v>
      </c>
      <c r="P35" s="16">
        <f t="shared" si="1"/>
        <v>22.875</v>
      </c>
      <c r="Q35" s="17">
        <f t="shared" si="2"/>
        <v>22.5</v>
      </c>
      <c r="R35" s="18">
        <f t="shared" si="3"/>
        <v>22.666666666666668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1">
        <v>29</v>
      </c>
      <c r="B36" s="12" t="s">
        <v>46</v>
      </c>
      <c r="C36" s="25">
        <v>87.5</v>
      </c>
      <c r="D36" s="13"/>
      <c r="E36" s="13"/>
      <c r="F36" s="13"/>
      <c r="G36" s="14">
        <v>89</v>
      </c>
      <c r="H36" s="14"/>
      <c r="I36" s="14"/>
      <c r="J36" s="14"/>
      <c r="K36" s="24">
        <v>87.5</v>
      </c>
      <c r="L36" s="15"/>
      <c r="M36" s="15"/>
      <c r="N36" s="15"/>
      <c r="O36" s="16">
        <f t="shared" si="0"/>
        <v>21.875</v>
      </c>
      <c r="P36" s="16">
        <f t="shared" si="1"/>
        <v>22.25</v>
      </c>
      <c r="Q36" s="17">
        <f t="shared" si="2"/>
        <v>21.875</v>
      </c>
      <c r="R36" s="18">
        <f t="shared" si="3"/>
        <v>22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28"/>
      <c r="E37" s="1"/>
      <c r="F37" s="1"/>
    </row>
    <row r="38" spans="1:27" ht="15">
      <c r="A38" s="1"/>
      <c r="B38" s="1"/>
      <c r="C38" s="1"/>
      <c r="D38" s="1"/>
      <c r="E38" s="1"/>
      <c r="F38" s="1"/>
    </row>
    <row r="39" spans="1:27" ht="15">
      <c r="A39" s="1"/>
      <c r="B39" s="1"/>
      <c r="C39" s="1"/>
      <c r="D39" s="1"/>
      <c r="E39" s="1"/>
      <c r="F39" s="1"/>
    </row>
    <row r="40" spans="1:27" ht="15">
      <c r="A40" s="1"/>
      <c r="B40" s="1"/>
      <c r="C40" s="1"/>
      <c r="D40" s="1"/>
      <c r="E40" s="1"/>
      <c r="F40" s="1"/>
    </row>
    <row r="41" spans="1:27" ht="15">
      <c r="A41" s="1"/>
      <c r="B41" s="1"/>
      <c r="C41" s="1"/>
      <c r="D41" s="1"/>
      <c r="E41" s="1"/>
      <c r="F41" s="1"/>
    </row>
    <row r="42" spans="1:27" ht="15">
      <c r="A42" s="1"/>
      <c r="B42" s="1"/>
      <c r="C42" s="1"/>
      <c r="D42" s="1"/>
      <c r="E42" s="1"/>
      <c r="F42" s="1"/>
    </row>
    <row r="43" spans="1:27" ht="15">
      <c r="A43" s="1"/>
      <c r="B43" s="1"/>
      <c r="C43" s="1"/>
      <c r="D43" s="1"/>
      <c r="E43" s="1"/>
      <c r="F43" s="1"/>
    </row>
    <row r="44" spans="1:27" ht="15">
      <c r="A44" s="1"/>
      <c r="B44" s="1"/>
      <c r="C44" s="1"/>
      <c r="D44" s="1"/>
      <c r="E44" s="1"/>
      <c r="F44" s="1"/>
    </row>
    <row r="45" spans="1:27" ht="15">
      <c r="A45" s="1"/>
      <c r="B45" s="1"/>
      <c r="C45" s="1"/>
      <c r="D45" s="1"/>
      <c r="E45" s="1"/>
      <c r="F45" s="1"/>
    </row>
    <row r="46" spans="1:27" ht="15">
      <c r="A46" s="1"/>
      <c r="B46" s="1"/>
      <c r="C46" s="1"/>
      <c r="D46" s="1"/>
      <c r="E46" s="1"/>
      <c r="F46" s="1"/>
    </row>
    <row r="47" spans="1:27" ht="15">
      <c r="A47" s="1"/>
      <c r="B47" s="1"/>
      <c r="C47" s="1"/>
      <c r="D47" s="1"/>
      <c r="E47" s="1"/>
      <c r="F47" s="1"/>
    </row>
    <row r="48" spans="1:27" ht="15">
      <c r="A48" s="1"/>
      <c r="B48" s="1"/>
      <c r="C48" s="1"/>
      <c r="D48" s="1"/>
      <c r="E48" s="1"/>
      <c r="F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8">
    <mergeCell ref="A1:A7"/>
    <mergeCell ref="B1:B7"/>
    <mergeCell ref="R1:R7"/>
    <mergeCell ref="O5:Q6"/>
    <mergeCell ref="K5:N6"/>
    <mergeCell ref="G5:J6"/>
    <mergeCell ref="C5:F6"/>
    <mergeCell ref="C1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8"/>
  <sheetViews>
    <sheetView workbookViewId="0">
      <pane xSplit="2" topLeftCell="C1" activePane="topRight" state="frozen"/>
      <selection pane="topRight" activeCell="O8" sqref="O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14" width="4.7109375" customWidth="1"/>
    <col min="15" max="17" width="7.85546875" customWidth="1"/>
    <col min="18" max="18" width="12.28515625" customWidth="1"/>
  </cols>
  <sheetData>
    <row r="1" spans="1:27" ht="15.75" customHeight="1">
      <c r="A1" s="40" t="s">
        <v>0</v>
      </c>
      <c r="B1" s="42" t="s">
        <v>1</v>
      </c>
      <c r="C1" s="55" t="s">
        <v>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5" t="s">
        <v>3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1"/>
      <c r="B2" s="43"/>
      <c r="C2" s="5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57"/>
      <c r="R2" s="43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41"/>
      <c r="B3" s="43"/>
      <c r="C3" s="56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7"/>
      <c r="R3" s="43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/>
      <c r="B4" s="43"/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43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/>
      <c r="B5" s="43"/>
      <c r="C5" s="54" t="s">
        <v>4</v>
      </c>
      <c r="D5" s="47"/>
      <c r="E5" s="47"/>
      <c r="F5" s="48"/>
      <c r="G5" s="53" t="s">
        <v>5</v>
      </c>
      <c r="H5" s="47"/>
      <c r="I5" s="47"/>
      <c r="J5" s="48"/>
      <c r="K5" s="52" t="s">
        <v>6</v>
      </c>
      <c r="L5" s="47"/>
      <c r="M5" s="47"/>
      <c r="N5" s="48"/>
      <c r="O5" s="46" t="s">
        <v>7</v>
      </c>
      <c r="P5" s="47"/>
      <c r="Q5" s="48"/>
      <c r="R5" s="43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41"/>
      <c r="B6" s="43"/>
      <c r="C6" s="49"/>
      <c r="D6" s="50"/>
      <c r="E6" s="50"/>
      <c r="F6" s="51"/>
      <c r="G6" s="49"/>
      <c r="H6" s="50"/>
      <c r="I6" s="50"/>
      <c r="J6" s="51"/>
      <c r="K6" s="49"/>
      <c r="L6" s="50"/>
      <c r="M6" s="50"/>
      <c r="N6" s="51"/>
      <c r="O6" s="49"/>
      <c r="P6" s="50"/>
      <c r="Q6" s="51"/>
      <c r="R6" s="43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41"/>
      <c r="B7" s="44"/>
      <c r="C7" s="2" t="s">
        <v>8</v>
      </c>
      <c r="D7" s="3" t="s">
        <v>12</v>
      </c>
      <c r="E7" s="3" t="s">
        <v>13</v>
      </c>
      <c r="F7" s="5" t="s">
        <v>14</v>
      </c>
      <c r="G7" s="6" t="s">
        <v>8</v>
      </c>
      <c r="H7" s="6" t="s">
        <v>12</v>
      </c>
      <c r="I7" s="6" t="s">
        <v>13</v>
      </c>
      <c r="J7" s="6" t="s">
        <v>14</v>
      </c>
      <c r="K7" s="7" t="s">
        <v>8</v>
      </c>
      <c r="L7" s="7" t="s">
        <v>12</v>
      </c>
      <c r="M7" s="7" t="s">
        <v>13</v>
      </c>
      <c r="N7" s="7" t="s">
        <v>14</v>
      </c>
      <c r="O7" s="8" t="s">
        <v>15</v>
      </c>
      <c r="P7" s="9" t="s">
        <v>16</v>
      </c>
      <c r="Q7" s="10" t="s">
        <v>17</v>
      </c>
      <c r="R7" s="44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1">
        <v>1</v>
      </c>
      <c r="B8" s="12" t="s">
        <v>18</v>
      </c>
      <c r="C8" s="13">
        <v>88</v>
      </c>
      <c r="D8" s="13">
        <v>82</v>
      </c>
      <c r="E8" s="13">
        <v>85</v>
      </c>
      <c r="F8" s="13">
        <v>89</v>
      </c>
      <c r="G8" s="14">
        <v>89</v>
      </c>
      <c r="H8" s="14">
        <v>82</v>
      </c>
      <c r="I8" s="14">
        <v>85</v>
      </c>
      <c r="J8" s="14">
        <v>89</v>
      </c>
      <c r="K8" s="15">
        <v>90</v>
      </c>
      <c r="L8" s="15">
        <v>82</v>
      </c>
      <c r="M8" s="15">
        <v>85</v>
      </c>
      <c r="N8" s="15">
        <v>89</v>
      </c>
      <c r="O8" s="16">
        <f t="shared" ref="O8:O36" si="0">(C8+D8+E8+F8)/4</f>
        <v>86</v>
      </c>
      <c r="P8" s="16">
        <f t="shared" ref="P8:P36" si="1">(G8+H8+I8+J8)/4</f>
        <v>86.25</v>
      </c>
      <c r="Q8" s="17">
        <f t="shared" ref="Q8:Q36" si="2">(K8+L8+M8+N8)/4</f>
        <v>86.5</v>
      </c>
      <c r="R8" s="18">
        <f t="shared" ref="R8:R36" si="3">SUM(O8:Q8)/3</f>
        <v>86.25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1">
        <v>2</v>
      </c>
      <c r="B9" s="12" t="s">
        <v>19</v>
      </c>
      <c r="C9" s="13">
        <v>73</v>
      </c>
      <c r="D9" s="13"/>
      <c r="E9" s="13"/>
      <c r="F9" s="13"/>
      <c r="G9" s="14">
        <v>75</v>
      </c>
      <c r="H9" s="14"/>
      <c r="I9" s="14"/>
      <c r="J9" s="14"/>
      <c r="K9" s="15">
        <v>72</v>
      </c>
      <c r="L9" s="15"/>
      <c r="M9" s="15"/>
      <c r="N9" s="15"/>
      <c r="O9" s="16">
        <f t="shared" si="0"/>
        <v>18.25</v>
      </c>
      <c r="P9" s="16">
        <f t="shared" si="1"/>
        <v>18.75</v>
      </c>
      <c r="Q9" s="17">
        <f t="shared" si="2"/>
        <v>18</v>
      </c>
      <c r="R9" s="18">
        <f t="shared" si="3"/>
        <v>18.333333333333332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1">
        <v>3</v>
      </c>
      <c r="B10" s="12" t="s">
        <v>20</v>
      </c>
      <c r="C10" s="13">
        <v>100</v>
      </c>
      <c r="D10" s="13"/>
      <c r="E10" s="13"/>
      <c r="F10" s="13"/>
      <c r="G10" s="14">
        <v>100</v>
      </c>
      <c r="H10" s="14"/>
      <c r="I10" s="14"/>
      <c r="J10" s="14"/>
      <c r="K10" s="15">
        <v>100</v>
      </c>
      <c r="L10" s="15"/>
      <c r="M10" s="15"/>
      <c r="N10" s="15"/>
      <c r="O10" s="16">
        <f t="shared" si="0"/>
        <v>25</v>
      </c>
      <c r="P10" s="16">
        <f t="shared" si="1"/>
        <v>25</v>
      </c>
      <c r="Q10" s="17">
        <f t="shared" si="2"/>
        <v>25</v>
      </c>
      <c r="R10" s="18">
        <f t="shared" si="3"/>
        <v>25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1">
        <v>4</v>
      </c>
      <c r="B11" s="12" t="s">
        <v>21</v>
      </c>
      <c r="C11" s="13">
        <v>85</v>
      </c>
      <c r="D11" s="13"/>
      <c r="E11" s="13"/>
      <c r="F11" s="13"/>
      <c r="G11" s="14">
        <v>89</v>
      </c>
      <c r="H11" s="14"/>
      <c r="I11" s="14"/>
      <c r="J11" s="14"/>
      <c r="K11" s="15">
        <v>88</v>
      </c>
      <c r="L11" s="15"/>
      <c r="M11" s="15"/>
      <c r="N11" s="15"/>
      <c r="O11" s="16">
        <f t="shared" si="0"/>
        <v>21.25</v>
      </c>
      <c r="P11" s="16">
        <f t="shared" si="1"/>
        <v>22.25</v>
      </c>
      <c r="Q11" s="17">
        <f t="shared" si="2"/>
        <v>22</v>
      </c>
      <c r="R11" s="18">
        <f t="shared" si="3"/>
        <v>21.833333333333332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1">
        <v>5</v>
      </c>
      <c r="B12" s="12" t="s">
        <v>22</v>
      </c>
      <c r="C12" s="13">
        <v>74</v>
      </c>
      <c r="D12" s="13"/>
      <c r="E12" s="13"/>
      <c r="F12" s="13"/>
      <c r="G12" s="14">
        <v>72</v>
      </c>
      <c r="H12" s="14"/>
      <c r="I12" s="14"/>
      <c r="J12" s="14"/>
      <c r="K12" s="15">
        <v>75</v>
      </c>
      <c r="L12" s="15"/>
      <c r="M12" s="15"/>
      <c r="N12" s="15"/>
      <c r="O12" s="16">
        <f t="shared" si="0"/>
        <v>18.5</v>
      </c>
      <c r="P12" s="16">
        <f t="shared" si="1"/>
        <v>18</v>
      </c>
      <c r="Q12" s="17">
        <f t="shared" si="2"/>
        <v>18.75</v>
      </c>
      <c r="R12" s="18">
        <f t="shared" si="3"/>
        <v>18.416666666666668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1">
        <v>6</v>
      </c>
      <c r="B13" s="12" t="s">
        <v>23</v>
      </c>
      <c r="C13" s="13">
        <v>71</v>
      </c>
      <c r="D13" s="13"/>
      <c r="E13" s="13"/>
      <c r="F13" s="13"/>
      <c r="G13" s="14">
        <v>70</v>
      </c>
      <c r="H13" s="14"/>
      <c r="I13" s="14"/>
      <c r="J13" s="14"/>
      <c r="K13" s="15">
        <v>73</v>
      </c>
      <c r="L13" s="15"/>
      <c r="M13" s="15"/>
      <c r="N13" s="15"/>
      <c r="O13" s="16">
        <f t="shared" si="0"/>
        <v>17.75</v>
      </c>
      <c r="P13" s="16">
        <f t="shared" si="1"/>
        <v>17.5</v>
      </c>
      <c r="Q13" s="17">
        <f t="shared" si="2"/>
        <v>18.25</v>
      </c>
      <c r="R13" s="18">
        <f t="shared" si="3"/>
        <v>17.833333333333332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>
        <v>7</v>
      </c>
      <c r="B14" s="12" t="s">
        <v>24</v>
      </c>
      <c r="C14" s="13">
        <v>90</v>
      </c>
      <c r="D14" s="13"/>
      <c r="E14" s="13"/>
      <c r="F14" s="13"/>
      <c r="G14" s="14">
        <v>91</v>
      </c>
      <c r="H14" s="14"/>
      <c r="I14" s="14"/>
      <c r="J14" s="14"/>
      <c r="K14" s="15">
        <v>90</v>
      </c>
      <c r="L14" s="15"/>
      <c r="M14" s="15"/>
      <c r="N14" s="15"/>
      <c r="O14" s="16">
        <f t="shared" si="0"/>
        <v>22.5</v>
      </c>
      <c r="P14" s="16">
        <f t="shared" si="1"/>
        <v>22.75</v>
      </c>
      <c r="Q14" s="17">
        <f t="shared" si="2"/>
        <v>22.5</v>
      </c>
      <c r="R14" s="18">
        <f t="shared" si="3"/>
        <v>22.583333333333332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1">
        <v>8</v>
      </c>
      <c r="B15" s="12" t="s">
        <v>25</v>
      </c>
      <c r="C15" s="13">
        <v>72</v>
      </c>
      <c r="D15" s="13"/>
      <c r="E15" s="13"/>
      <c r="F15" s="13"/>
      <c r="G15" s="14">
        <v>70</v>
      </c>
      <c r="H15" s="14"/>
      <c r="I15" s="14"/>
      <c r="J15" s="14"/>
      <c r="K15" s="15">
        <v>71</v>
      </c>
      <c r="L15" s="15"/>
      <c r="M15" s="15"/>
      <c r="N15" s="15"/>
      <c r="O15" s="16">
        <f t="shared" si="0"/>
        <v>18</v>
      </c>
      <c r="P15" s="16">
        <f t="shared" si="1"/>
        <v>17.5</v>
      </c>
      <c r="Q15" s="17">
        <f t="shared" si="2"/>
        <v>17.75</v>
      </c>
      <c r="R15" s="18">
        <f t="shared" si="3"/>
        <v>17.75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1">
        <v>9</v>
      </c>
      <c r="B16" s="12" t="s">
        <v>26</v>
      </c>
      <c r="C16" s="13">
        <v>95</v>
      </c>
      <c r="D16" s="13"/>
      <c r="E16" s="13"/>
      <c r="F16" s="13"/>
      <c r="G16" s="14">
        <v>98</v>
      </c>
      <c r="H16" s="14"/>
      <c r="I16" s="14"/>
      <c r="J16" s="14"/>
      <c r="K16" s="15">
        <v>95</v>
      </c>
      <c r="L16" s="15"/>
      <c r="M16" s="15"/>
      <c r="N16" s="15"/>
      <c r="O16" s="16">
        <f t="shared" si="0"/>
        <v>23.75</v>
      </c>
      <c r="P16" s="16">
        <f t="shared" si="1"/>
        <v>24.5</v>
      </c>
      <c r="Q16" s="17">
        <f t="shared" si="2"/>
        <v>23.75</v>
      </c>
      <c r="R16" s="18">
        <f t="shared" si="3"/>
        <v>24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1">
        <v>10</v>
      </c>
      <c r="B17" s="12" t="s">
        <v>27</v>
      </c>
      <c r="C17" s="13">
        <v>98</v>
      </c>
      <c r="D17" s="13"/>
      <c r="E17" s="13"/>
      <c r="F17" s="13"/>
      <c r="G17" s="14">
        <v>99</v>
      </c>
      <c r="H17" s="14"/>
      <c r="I17" s="14"/>
      <c r="J17" s="14"/>
      <c r="K17" s="15">
        <v>100</v>
      </c>
      <c r="L17" s="15"/>
      <c r="M17" s="15"/>
      <c r="N17" s="15"/>
      <c r="O17" s="16">
        <f t="shared" si="0"/>
        <v>24.5</v>
      </c>
      <c r="P17" s="16">
        <f t="shared" si="1"/>
        <v>24.75</v>
      </c>
      <c r="Q17" s="17">
        <f t="shared" si="2"/>
        <v>25</v>
      </c>
      <c r="R17" s="18">
        <f t="shared" si="3"/>
        <v>24.75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11">
        <v>11</v>
      </c>
      <c r="B18" s="12" t="s">
        <v>28</v>
      </c>
      <c r="C18" s="13">
        <v>90</v>
      </c>
      <c r="D18" s="13"/>
      <c r="E18" s="13"/>
      <c r="F18" s="13"/>
      <c r="G18" s="14">
        <v>91</v>
      </c>
      <c r="H18" s="14"/>
      <c r="I18" s="14"/>
      <c r="J18" s="14"/>
      <c r="K18" s="15">
        <v>90</v>
      </c>
      <c r="L18" s="15"/>
      <c r="M18" s="15"/>
      <c r="N18" s="15"/>
      <c r="O18" s="16">
        <f t="shared" si="0"/>
        <v>22.5</v>
      </c>
      <c r="P18" s="16">
        <f t="shared" si="1"/>
        <v>22.75</v>
      </c>
      <c r="Q18" s="17">
        <f t="shared" si="2"/>
        <v>22.5</v>
      </c>
      <c r="R18" s="18">
        <f t="shared" si="3"/>
        <v>22.583333333333332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1">
        <v>12</v>
      </c>
      <c r="B19" s="12" t="s">
        <v>29</v>
      </c>
      <c r="C19" s="13">
        <v>73</v>
      </c>
      <c r="D19" s="13"/>
      <c r="E19" s="13"/>
      <c r="F19" s="13"/>
      <c r="G19" s="14">
        <v>75</v>
      </c>
      <c r="H19" s="14"/>
      <c r="I19" s="14"/>
      <c r="J19" s="14"/>
      <c r="K19" s="15">
        <v>72</v>
      </c>
      <c r="L19" s="15"/>
      <c r="M19" s="15"/>
      <c r="N19" s="15"/>
      <c r="O19" s="16">
        <f t="shared" si="0"/>
        <v>18.25</v>
      </c>
      <c r="P19" s="16">
        <f t="shared" si="1"/>
        <v>18.75</v>
      </c>
      <c r="Q19" s="17">
        <f t="shared" si="2"/>
        <v>18</v>
      </c>
      <c r="R19" s="18">
        <f t="shared" si="3"/>
        <v>18.333333333333332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1">
        <v>13</v>
      </c>
      <c r="B20" s="12" t="s">
        <v>30</v>
      </c>
      <c r="C20" s="13">
        <v>94</v>
      </c>
      <c r="D20" s="13"/>
      <c r="E20" s="13"/>
      <c r="F20" s="13"/>
      <c r="G20" s="14">
        <v>96</v>
      </c>
      <c r="H20" s="14"/>
      <c r="I20" s="14"/>
      <c r="J20" s="14"/>
      <c r="K20" s="15">
        <v>97</v>
      </c>
      <c r="L20" s="15"/>
      <c r="M20" s="15"/>
      <c r="N20" s="15"/>
      <c r="O20" s="16">
        <f t="shared" si="0"/>
        <v>23.5</v>
      </c>
      <c r="P20" s="16">
        <f t="shared" si="1"/>
        <v>24</v>
      </c>
      <c r="Q20" s="17">
        <f t="shared" si="2"/>
        <v>24.25</v>
      </c>
      <c r="R20" s="18">
        <f t="shared" si="3"/>
        <v>23.916666666666668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1">
        <v>14</v>
      </c>
      <c r="B21" s="12" t="s">
        <v>31</v>
      </c>
      <c r="C21" s="13">
        <v>90</v>
      </c>
      <c r="D21" s="13"/>
      <c r="E21" s="13"/>
      <c r="F21" s="13"/>
      <c r="G21" s="14">
        <v>91</v>
      </c>
      <c r="H21" s="14"/>
      <c r="I21" s="14"/>
      <c r="J21" s="14"/>
      <c r="K21" s="15">
        <v>90</v>
      </c>
      <c r="L21" s="15"/>
      <c r="M21" s="15"/>
      <c r="N21" s="15"/>
      <c r="O21" s="16">
        <f t="shared" si="0"/>
        <v>22.5</v>
      </c>
      <c r="P21" s="16">
        <f t="shared" si="1"/>
        <v>22.75</v>
      </c>
      <c r="Q21" s="17">
        <f t="shared" si="2"/>
        <v>22.5</v>
      </c>
      <c r="R21" s="18">
        <f t="shared" si="3"/>
        <v>22.583333333333332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1">
        <v>15</v>
      </c>
      <c r="B22" s="12" t="s">
        <v>32</v>
      </c>
      <c r="C22" s="13">
        <v>89</v>
      </c>
      <c r="D22" s="13"/>
      <c r="E22" s="13"/>
      <c r="F22" s="13"/>
      <c r="G22" s="14">
        <v>88</v>
      </c>
      <c r="H22" s="14"/>
      <c r="I22" s="14"/>
      <c r="J22" s="14"/>
      <c r="K22" s="15">
        <v>87</v>
      </c>
      <c r="L22" s="15"/>
      <c r="M22" s="15"/>
      <c r="N22" s="15"/>
      <c r="O22" s="16">
        <f t="shared" si="0"/>
        <v>22.25</v>
      </c>
      <c r="P22" s="16">
        <f t="shared" si="1"/>
        <v>22</v>
      </c>
      <c r="Q22" s="17">
        <f t="shared" si="2"/>
        <v>21.75</v>
      </c>
      <c r="R22" s="18">
        <f t="shared" si="3"/>
        <v>22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1">
        <v>16</v>
      </c>
      <c r="B23" s="12" t="s">
        <v>33</v>
      </c>
      <c r="C23" s="13">
        <v>82</v>
      </c>
      <c r="D23" s="13"/>
      <c r="E23" s="13"/>
      <c r="F23" s="13"/>
      <c r="G23" s="14">
        <v>85</v>
      </c>
      <c r="H23" s="14"/>
      <c r="I23" s="14"/>
      <c r="J23" s="14"/>
      <c r="K23" s="15">
        <v>83</v>
      </c>
      <c r="L23" s="15"/>
      <c r="M23" s="15"/>
      <c r="N23" s="15"/>
      <c r="O23" s="16">
        <f t="shared" si="0"/>
        <v>20.5</v>
      </c>
      <c r="P23" s="16">
        <f t="shared" si="1"/>
        <v>21.25</v>
      </c>
      <c r="Q23" s="17">
        <f t="shared" si="2"/>
        <v>20.75</v>
      </c>
      <c r="R23" s="18">
        <f t="shared" si="3"/>
        <v>20.833333333333332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1">
        <v>17</v>
      </c>
      <c r="B24" s="12" t="s">
        <v>34</v>
      </c>
      <c r="C24" s="13">
        <v>88</v>
      </c>
      <c r="D24" s="13"/>
      <c r="E24" s="13"/>
      <c r="F24" s="13"/>
      <c r="G24" s="14">
        <v>89</v>
      </c>
      <c r="H24" s="14"/>
      <c r="I24" s="14"/>
      <c r="J24" s="14"/>
      <c r="K24" s="15">
        <v>90</v>
      </c>
      <c r="L24" s="15"/>
      <c r="M24" s="15"/>
      <c r="N24" s="15"/>
      <c r="O24" s="16">
        <f t="shared" si="0"/>
        <v>22</v>
      </c>
      <c r="P24" s="16">
        <f t="shared" si="1"/>
        <v>22.25</v>
      </c>
      <c r="Q24" s="17">
        <f t="shared" si="2"/>
        <v>22.5</v>
      </c>
      <c r="R24" s="18">
        <f t="shared" si="3"/>
        <v>22.25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9">
        <v>18</v>
      </c>
      <c r="B25" s="30" t="s">
        <v>35</v>
      </c>
      <c r="C25" s="32">
        <v>72</v>
      </c>
      <c r="D25" s="32"/>
      <c r="E25" s="32"/>
      <c r="F25" s="32"/>
      <c r="G25" s="32">
        <v>70</v>
      </c>
      <c r="H25" s="32"/>
      <c r="I25" s="32"/>
      <c r="J25" s="32"/>
      <c r="K25" s="32">
        <v>71</v>
      </c>
      <c r="L25" s="32"/>
      <c r="M25" s="32"/>
      <c r="N25" s="32"/>
      <c r="O25" s="16">
        <f t="shared" si="0"/>
        <v>18</v>
      </c>
      <c r="P25" s="16">
        <f t="shared" si="1"/>
        <v>17.5</v>
      </c>
      <c r="Q25" s="17">
        <f t="shared" si="2"/>
        <v>17.75</v>
      </c>
      <c r="R25" s="18">
        <f t="shared" si="3"/>
        <v>17.75</v>
      </c>
      <c r="S25" s="33"/>
      <c r="T25" s="33"/>
      <c r="U25" s="33"/>
      <c r="V25" s="33"/>
      <c r="W25" s="33"/>
      <c r="X25" s="33"/>
      <c r="Y25" s="33"/>
      <c r="Z25" s="33"/>
      <c r="AA25" s="33"/>
    </row>
    <row r="26" spans="1:27">
      <c r="A26" s="11">
        <v>19</v>
      </c>
      <c r="B26" s="12" t="s">
        <v>36</v>
      </c>
      <c r="C26" s="13">
        <v>91</v>
      </c>
      <c r="D26" s="13"/>
      <c r="E26" s="13"/>
      <c r="F26" s="13"/>
      <c r="G26" s="14">
        <v>93</v>
      </c>
      <c r="H26" s="14"/>
      <c r="I26" s="14"/>
      <c r="J26" s="14"/>
      <c r="K26" s="15">
        <v>94</v>
      </c>
      <c r="L26" s="15"/>
      <c r="M26" s="15"/>
      <c r="N26" s="15"/>
      <c r="O26" s="16">
        <f t="shared" si="0"/>
        <v>22.75</v>
      </c>
      <c r="P26" s="16">
        <f t="shared" si="1"/>
        <v>23.25</v>
      </c>
      <c r="Q26" s="17">
        <f t="shared" si="2"/>
        <v>23.5</v>
      </c>
      <c r="R26" s="18">
        <f t="shared" si="3"/>
        <v>23.166666666666668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1">
        <v>20</v>
      </c>
      <c r="B27" s="12" t="s">
        <v>37</v>
      </c>
      <c r="C27" s="13">
        <v>89</v>
      </c>
      <c r="D27" s="13"/>
      <c r="E27" s="13"/>
      <c r="F27" s="13"/>
      <c r="G27" s="14">
        <v>88</v>
      </c>
      <c r="H27" s="14"/>
      <c r="I27" s="14"/>
      <c r="J27" s="14"/>
      <c r="K27" s="15">
        <v>90</v>
      </c>
      <c r="L27" s="15"/>
      <c r="M27" s="15"/>
      <c r="N27" s="15"/>
      <c r="O27" s="16">
        <f t="shared" si="0"/>
        <v>22.25</v>
      </c>
      <c r="P27" s="16">
        <f t="shared" si="1"/>
        <v>22</v>
      </c>
      <c r="Q27" s="17">
        <f t="shared" si="2"/>
        <v>22.5</v>
      </c>
      <c r="R27" s="18">
        <f t="shared" si="3"/>
        <v>22.25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1">
        <v>21</v>
      </c>
      <c r="B28" s="12" t="s">
        <v>38</v>
      </c>
      <c r="C28" s="13">
        <v>94</v>
      </c>
      <c r="D28" s="13"/>
      <c r="E28" s="13"/>
      <c r="F28" s="13"/>
      <c r="G28" s="14">
        <v>93</v>
      </c>
      <c r="H28" s="14"/>
      <c r="I28" s="14"/>
      <c r="J28" s="14"/>
      <c r="K28" s="15">
        <v>95</v>
      </c>
      <c r="L28" s="15"/>
      <c r="M28" s="15"/>
      <c r="N28" s="15"/>
      <c r="O28" s="16">
        <f t="shared" si="0"/>
        <v>23.5</v>
      </c>
      <c r="P28" s="16">
        <f t="shared" si="1"/>
        <v>23.25</v>
      </c>
      <c r="Q28" s="17">
        <f t="shared" si="2"/>
        <v>23.75</v>
      </c>
      <c r="R28" s="18">
        <f t="shared" si="3"/>
        <v>23.5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1">
        <v>22</v>
      </c>
      <c r="B29" s="12" t="s">
        <v>39</v>
      </c>
      <c r="C29" s="13">
        <v>74</v>
      </c>
      <c r="D29" s="13"/>
      <c r="E29" s="13"/>
      <c r="F29" s="13"/>
      <c r="G29" s="14">
        <v>72</v>
      </c>
      <c r="H29" s="14"/>
      <c r="I29" s="14"/>
      <c r="J29" s="14"/>
      <c r="K29" s="15">
        <v>70</v>
      </c>
      <c r="L29" s="15"/>
      <c r="M29" s="15"/>
      <c r="N29" s="15"/>
      <c r="O29" s="16">
        <f t="shared" si="0"/>
        <v>18.5</v>
      </c>
      <c r="P29" s="16">
        <f t="shared" si="1"/>
        <v>18</v>
      </c>
      <c r="Q29" s="17">
        <f t="shared" si="2"/>
        <v>17.5</v>
      </c>
      <c r="R29" s="18">
        <f t="shared" si="3"/>
        <v>18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1">
        <v>23</v>
      </c>
      <c r="B30" s="12" t="s">
        <v>40</v>
      </c>
      <c r="C30" s="13">
        <v>78</v>
      </c>
      <c r="D30" s="13"/>
      <c r="E30" s="13"/>
      <c r="F30" s="13"/>
      <c r="G30" s="14">
        <v>79</v>
      </c>
      <c r="H30" s="14"/>
      <c r="I30" s="14"/>
      <c r="J30" s="14"/>
      <c r="K30" s="15">
        <v>75</v>
      </c>
      <c r="L30" s="15"/>
      <c r="M30" s="15"/>
      <c r="N30" s="15"/>
      <c r="O30" s="16">
        <f t="shared" si="0"/>
        <v>19.5</v>
      </c>
      <c r="P30" s="16">
        <f t="shared" si="1"/>
        <v>19.75</v>
      </c>
      <c r="Q30" s="17">
        <f t="shared" si="2"/>
        <v>18.75</v>
      </c>
      <c r="R30" s="18">
        <f t="shared" si="3"/>
        <v>19.333333333333332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1">
        <v>24</v>
      </c>
      <c r="B31" s="12" t="s">
        <v>41</v>
      </c>
      <c r="C31" s="13">
        <v>84</v>
      </c>
      <c r="D31" s="13"/>
      <c r="E31" s="13"/>
      <c r="F31" s="13"/>
      <c r="G31" s="14">
        <v>83</v>
      </c>
      <c r="H31" s="14"/>
      <c r="I31" s="14"/>
      <c r="J31" s="14"/>
      <c r="K31" s="15">
        <v>85</v>
      </c>
      <c r="L31" s="15"/>
      <c r="M31" s="15"/>
      <c r="N31" s="15"/>
      <c r="O31" s="16">
        <f t="shared" si="0"/>
        <v>21</v>
      </c>
      <c r="P31" s="16">
        <f t="shared" si="1"/>
        <v>20.75</v>
      </c>
      <c r="Q31" s="17">
        <f t="shared" si="2"/>
        <v>21.25</v>
      </c>
      <c r="R31" s="18">
        <f t="shared" si="3"/>
        <v>21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1">
        <v>25</v>
      </c>
      <c r="B32" s="12" t="s">
        <v>42</v>
      </c>
      <c r="C32" s="13">
        <v>92</v>
      </c>
      <c r="D32" s="13"/>
      <c r="E32" s="13"/>
      <c r="F32" s="13"/>
      <c r="G32" s="14">
        <v>90</v>
      </c>
      <c r="H32" s="14"/>
      <c r="I32" s="14"/>
      <c r="J32" s="14"/>
      <c r="K32" s="15">
        <v>90</v>
      </c>
      <c r="L32" s="15"/>
      <c r="M32" s="15"/>
      <c r="N32" s="15"/>
      <c r="O32" s="16">
        <f t="shared" si="0"/>
        <v>23</v>
      </c>
      <c r="P32" s="16">
        <f t="shared" si="1"/>
        <v>22.5</v>
      </c>
      <c r="Q32" s="17">
        <f t="shared" si="2"/>
        <v>22.5</v>
      </c>
      <c r="R32" s="18">
        <f t="shared" si="3"/>
        <v>22.666666666666668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1">
        <v>26</v>
      </c>
      <c r="B33" s="12" t="s">
        <v>43</v>
      </c>
      <c r="C33" s="13">
        <v>98</v>
      </c>
      <c r="D33" s="13"/>
      <c r="E33" s="13"/>
      <c r="F33" s="13"/>
      <c r="G33" s="14">
        <v>97</v>
      </c>
      <c r="H33" s="14"/>
      <c r="I33" s="14"/>
      <c r="J33" s="14"/>
      <c r="K33" s="15">
        <v>98</v>
      </c>
      <c r="L33" s="15"/>
      <c r="M33" s="15"/>
      <c r="N33" s="15"/>
      <c r="O33" s="16">
        <f t="shared" si="0"/>
        <v>24.5</v>
      </c>
      <c r="P33" s="16">
        <f t="shared" si="1"/>
        <v>24.25</v>
      </c>
      <c r="Q33" s="17">
        <f t="shared" si="2"/>
        <v>24.5</v>
      </c>
      <c r="R33" s="18">
        <f t="shared" si="3"/>
        <v>24.416666666666668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1">
        <v>27</v>
      </c>
      <c r="B34" s="12" t="s">
        <v>44</v>
      </c>
      <c r="C34" s="13">
        <v>90</v>
      </c>
      <c r="D34" s="13"/>
      <c r="E34" s="13"/>
      <c r="F34" s="13"/>
      <c r="G34" s="14">
        <v>89</v>
      </c>
      <c r="H34" s="14"/>
      <c r="I34" s="14"/>
      <c r="J34" s="14"/>
      <c r="K34" s="15">
        <v>90</v>
      </c>
      <c r="L34" s="15"/>
      <c r="M34" s="15"/>
      <c r="N34" s="15"/>
      <c r="O34" s="16">
        <f t="shared" si="0"/>
        <v>22.5</v>
      </c>
      <c r="P34" s="16">
        <f t="shared" si="1"/>
        <v>22.25</v>
      </c>
      <c r="Q34" s="17">
        <f t="shared" si="2"/>
        <v>22.5</v>
      </c>
      <c r="R34" s="18">
        <f t="shared" si="3"/>
        <v>22.416666666666668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1">
        <v>28</v>
      </c>
      <c r="B35" s="12" t="s">
        <v>45</v>
      </c>
      <c r="C35" s="13">
        <v>92</v>
      </c>
      <c r="D35" s="13"/>
      <c r="E35" s="13"/>
      <c r="F35" s="13"/>
      <c r="G35" s="14">
        <v>90</v>
      </c>
      <c r="H35" s="14"/>
      <c r="I35" s="14"/>
      <c r="J35" s="14"/>
      <c r="K35" s="15">
        <v>90</v>
      </c>
      <c r="L35" s="15"/>
      <c r="M35" s="15"/>
      <c r="N35" s="15"/>
      <c r="O35" s="16">
        <f t="shared" si="0"/>
        <v>23</v>
      </c>
      <c r="P35" s="16">
        <f t="shared" si="1"/>
        <v>22.5</v>
      </c>
      <c r="Q35" s="17">
        <f t="shared" si="2"/>
        <v>22.5</v>
      </c>
      <c r="R35" s="18">
        <f t="shared" si="3"/>
        <v>22.666666666666668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1">
        <v>29</v>
      </c>
      <c r="B36" s="12" t="s">
        <v>46</v>
      </c>
      <c r="C36" s="13">
        <v>88</v>
      </c>
      <c r="D36" s="13"/>
      <c r="E36" s="13"/>
      <c r="F36" s="13"/>
      <c r="G36" s="14">
        <v>87</v>
      </c>
      <c r="H36" s="14"/>
      <c r="I36" s="14"/>
      <c r="J36" s="14"/>
      <c r="K36" s="15">
        <v>88</v>
      </c>
      <c r="L36" s="15"/>
      <c r="M36" s="15"/>
      <c r="N36" s="15"/>
      <c r="O36" s="16">
        <f t="shared" si="0"/>
        <v>22</v>
      </c>
      <c r="P36" s="16">
        <f t="shared" si="1"/>
        <v>21.75</v>
      </c>
      <c r="Q36" s="17">
        <f t="shared" si="2"/>
        <v>22</v>
      </c>
      <c r="R36" s="18">
        <f t="shared" si="3"/>
        <v>21.916666666666668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28"/>
      <c r="E37" s="1"/>
      <c r="F37" s="1"/>
    </row>
    <row r="38" spans="1:27" ht="15">
      <c r="A38" s="1"/>
      <c r="B38" s="1"/>
      <c r="C38" s="1"/>
      <c r="D38" s="1"/>
      <c r="E38" s="1"/>
      <c r="F38" s="1"/>
    </row>
    <row r="39" spans="1:27" ht="15">
      <c r="A39" s="1"/>
      <c r="B39" s="1"/>
      <c r="C39" s="1"/>
      <c r="D39" s="1"/>
      <c r="E39" s="1"/>
      <c r="F39" s="1"/>
    </row>
    <row r="40" spans="1:27" ht="15">
      <c r="A40" s="1"/>
      <c r="B40" s="1"/>
      <c r="C40" s="1"/>
      <c r="D40" s="1"/>
      <c r="E40" s="1"/>
      <c r="F40" s="1"/>
    </row>
    <row r="41" spans="1:27" ht="15">
      <c r="A41" s="1"/>
      <c r="B41" s="1"/>
      <c r="C41" s="1"/>
      <c r="D41" s="1"/>
      <c r="E41" s="1"/>
      <c r="F41" s="1"/>
    </row>
    <row r="42" spans="1:27" ht="15">
      <c r="A42" s="1"/>
      <c r="B42" s="1"/>
      <c r="C42" s="1"/>
      <c r="D42" s="1"/>
      <c r="E42" s="1"/>
      <c r="F42" s="1"/>
    </row>
    <row r="43" spans="1:27" ht="15">
      <c r="A43" s="1"/>
      <c r="B43" s="1"/>
      <c r="C43" s="1"/>
      <c r="D43" s="1"/>
      <c r="E43" s="1"/>
      <c r="F43" s="1"/>
    </row>
    <row r="44" spans="1:27" ht="15">
      <c r="A44" s="1"/>
      <c r="B44" s="1"/>
      <c r="C44" s="1"/>
      <c r="D44" s="1"/>
      <c r="E44" s="1"/>
      <c r="F44" s="1"/>
    </row>
    <row r="45" spans="1:27" ht="15">
      <c r="A45" s="1"/>
      <c r="B45" s="1"/>
      <c r="C45" s="1"/>
      <c r="D45" s="1"/>
      <c r="E45" s="1"/>
      <c r="F45" s="1"/>
    </row>
    <row r="46" spans="1:27" ht="15">
      <c r="A46" s="1"/>
      <c r="B46" s="1"/>
      <c r="C46" s="1"/>
      <c r="D46" s="1"/>
      <c r="E46" s="1"/>
      <c r="F46" s="1"/>
    </row>
    <row r="47" spans="1:27" ht="15">
      <c r="A47" s="1"/>
      <c r="B47" s="1"/>
      <c r="C47" s="1"/>
      <c r="D47" s="1"/>
      <c r="E47" s="1"/>
      <c r="F47" s="1"/>
    </row>
    <row r="48" spans="1:27" ht="15">
      <c r="A48" s="1"/>
      <c r="B48" s="1"/>
      <c r="C48" s="1"/>
      <c r="D48" s="1"/>
      <c r="E48" s="1"/>
      <c r="F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8">
    <mergeCell ref="A1:A7"/>
    <mergeCell ref="B1:B7"/>
    <mergeCell ref="R1:R7"/>
    <mergeCell ref="O5:Q6"/>
    <mergeCell ref="K5:N6"/>
    <mergeCell ref="G5:J6"/>
    <mergeCell ref="C5:F6"/>
    <mergeCell ref="C1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8"/>
  <sheetViews>
    <sheetView workbookViewId="0">
      <pane xSplit="2" topLeftCell="C1" activePane="topRight" state="frozen"/>
      <selection pane="topRight" activeCell="L8" sqref="L8:N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14" width="4.7109375" customWidth="1"/>
    <col min="15" max="17" width="7.85546875" customWidth="1"/>
    <col min="18" max="18" width="12.28515625" customWidth="1"/>
  </cols>
  <sheetData>
    <row r="1" spans="1:27" ht="15.75" customHeight="1">
      <c r="A1" s="40" t="s">
        <v>0</v>
      </c>
      <c r="B1" s="42" t="s">
        <v>1</v>
      </c>
      <c r="C1" s="55" t="s">
        <v>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5" t="s">
        <v>3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1"/>
      <c r="B2" s="43"/>
      <c r="C2" s="5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57"/>
      <c r="R2" s="43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41"/>
      <c r="B3" s="43"/>
      <c r="C3" s="56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7"/>
      <c r="R3" s="43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/>
      <c r="B4" s="43"/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43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/>
      <c r="B5" s="43"/>
      <c r="C5" s="54" t="s">
        <v>4</v>
      </c>
      <c r="D5" s="47"/>
      <c r="E5" s="47"/>
      <c r="F5" s="48"/>
      <c r="G5" s="53" t="s">
        <v>5</v>
      </c>
      <c r="H5" s="47"/>
      <c r="I5" s="47"/>
      <c r="J5" s="48"/>
      <c r="K5" s="52" t="s">
        <v>6</v>
      </c>
      <c r="L5" s="47"/>
      <c r="M5" s="47"/>
      <c r="N5" s="48"/>
      <c r="O5" s="46" t="s">
        <v>7</v>
      </c>
      <c r="P5" s="47"/>
      <c r="Q5" s="48"/>
      <c r="R5" s="43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41"/>
      <c r="B6" s="43"/>
      <c r="C6" s="49"/>
      <c r="D6" s="50"/>
      <c r="E6" s="50"/>
      <c r="F6" s="51"/>
      <c r="G6" s="49"/>
      <c r="H6" s="50"/>
      <c r="I6" s="50"/>
      <c r="J6" s="51"/>
      <c r="K6" s="49"/>
      <c r="L6" s="50"/>
      <c r="M6" s="50"/>
      <c r="N6" s="51"/>
      <c r="O6" s="49"/>
      <c r="P6" s="50"/>
      <c r="Q6" s="51"/>
      <c r="R6" s="43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41"/>
      <c r="B7" s="44"/>
      <c r="C7" s="2" t="s">
        <v>8</v>
      </c>
      <c r="D7" s="3" t="s">
        <v>12</v>
      </c>
      <c r="E7" s="3" t="s">
        <v>13</v>
      </c>
      <c r="F7" s="5" t="s">
        <v>14</v>
      </c>
      <c r="G7" s="6" t="s">
        <v>8</v>
      </c>
      <c r="H7" s="6" t="s">
        <v>12</v>
      </c>
      <c r="I7" s="6" t="s">
        <v>13</v>
      </c>
      <c r="J7" s="6" t="s">
        <v>14</v>
      </c>
      <c r="K7" s="7" t="s">
        <v>8</v>
      </c>
      <c r="L7" s="7" t="s">
        <v>12</v>
      </c>
      <c r="M7" s="7" t="s">
        <v>13</v>
      </c>
      <c r="N7" s="7" t="s">
        <v>14</v>
      </c>
      <c r="O7" s="8" t="s">
        <v>15</v>
      </c>
      <c r="P7" s="9" t="s">
        <v>16</v>
      </c>
      <c r="Q7" s="10" t="s">
        <v>17</v>
      </c>
      <c r="R7" s="44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1">
        <v>1</v>
      </c>
      <c r="B8" s="12" t="s">
        <v>18</v>
      </c>
      <c r="C8" s="13">
        <v>80</v>
      </c>
      <c r="D8" s="13">
        <v>82</v>
      </c>
      <c r="E8" s="13">
        <v>85</v>
      </c>
      <c r="F8" s="13">
        <v>89</v>
      </c>
      <c r="G8" s="14">
        <v>81</v>
      </c>
      <c r="H8" s="14">
        <v>82</v>
      </c>
      <c r="I8" s="14">
        <v>85</v>
      </c>
      <c r="J8" s="14">
        <v>89</v>
      </c>
      <c r="K8" s="15">
        <v>83</v>
      </c>
      <c r="L8" s="15">
        <v>82</v>
      </c>
      <c r="M8" s="15">
        <v>85</v>
      </c>
      <c r="N8" s="15">
        <v>89</v>
      </c>
      <c r="O8" s="16">
        <f t="shared" ref="O8:O36" si="0">(C8+D8+E8+F8)/4</f>
        <v>84</v>
      </c>
      <c r="P8" s="16">
        <f t="shared" ref="P8:P36" si="1">(G8+H8+I8+J8)/4</f>
        <v>84.25</v>
      </c>
      <c r="Q8" s="17">
        <f t="shared" ref="Q8:Q36" si="2">(K8+L8+M8+N8)/4</f>
        <v>84.75</v>
      </c>
      <c r="R8" s="18">
        <f t="shared" ref="R8:R36" si="3">SUM(O8:Q8)/3</f>
        <v>84.333333333333329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1">
        <v>2</v>
      </c>
      <c r="B9" s="12" t="s">
        <v>19</v>
      </c>
      <c r="C9" s="13">
        <v>65</v>
      </c>
      <c r="D9" s="13"/>
      <c r="E9" s="13"/>
      <c r="F9" s="13"/>
      <c r="G9" s="14">
        <v>67</v>
      </c>
      <c r="H9" s="14"/>
      <c r="I9" s="14"/>
      <c r="J9" s="14"/>
      <c r="K9" s="15">
        <v>65</v>
      </c>
      <c r="L9" s="15"/>
      <c r="M9" s="15"/>
      <c r="N9" s="15"/>
      <c r="O9" s="16">
        <f t="shared" si="0"/>
        <v>16.25</v>
      </c>
      <c r="P9" s="16">
        <f t="shared" si="1"/>
        <v>16.75</v>
      </c>
      <c r="Q9" s="17">
        <f t="shared" si="2"/>
        <v>16.25</v>
      </c>
      <c r="R9" s="18">
        <f t="shared" si="3"/>
        <v>16.416666666666668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1">
        <v>3</v>
      </c>
      <c r="B10" s="12" t="s">
        <v>20</v>
      </c>
      <c r="C10" s="13">
        <v>100</v>
      </c>
      <c r="D10" s="13"/>
      <c r="E10" s="13"/>
      <c r="F10" s="13"/>
      <c r="G10" s="14">
        <v>98</v>
      </c>
      <c r="H10" s="14"/>
      <c r="I10" s="14"/>
      <c r="J10" s="14"/>
      <c r="K10" s="15">
        <v>100</v>
      </c>
      <c r="L10" s="15"/>
      <c r="M10" s="15"/>
      <c r="N10" s="15"/>
      <c r="O10" s="16">
        <f t="shared" si="0"/>
        <v>25</v>
      </c>
      <c r="P10" s="16">
        <f t="shared" si="1"/>
        <v>24.5</v>
      </c>
      <c r="Q10" s="17">
        <f t="shared" si="2"/>
        <v>25</v>
      </c>
      <c r="R10" s="18">
        <f t="shared" si="3"/>
        <v>24.833333333333332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1">
        <v>4</v>
      </c>
      <c r="B11" s="12" t="s">
        <v>21</v>
      </c>
      <c r="C11" s="13">
        <v>82</v>
      </c>
      <c r="D11" s="13"/>
      <c r="E11" s="13"/>
      <c r="F11" s="13"/>
      <c r="G11" s="14">
        <v>80</v>
      </c>
      <c r="H11" s="14"/>
      <c r="I11" s="14"/>
      <c r="J11" s="14"/>
      <c r="K11" s="15">
        <v>84</v>
      </c>
      <c r="L11" s="15"/>
      <c r="M11" s="15"/>
      <c r="N11" s="15"/>
      <c r="O11" s="16">
        <f t="shared" si="0"/>
        <v>20.5</v>
      </c>
      <c r="P11" s="16">
        <f t="shared" si="1"/>
        <v>20</v>
      </c>
      <c r="Q11" s="17">
        <f t="shared" si="2"/>
        <v>21</v>
      </c>
      <c r="R11" s="18">
        <f t="shared" si="3"/>
        <v>20.5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1">
        <v>5</v>
      </c>
      <c r="B12" s="12" t="s">
        <v>22</v>
      </c>
      <c r="C12" s="13">
        <v>65</v>
      </c>
      <c r="D12" s="13"/>
      <c r="E12" s="13"/>
      <c r="F12" s="13"/>
      <c r="G12" s="14">
        <v>65</v>
      </c>
      <c r="H12" s="14"/>
      <c r="I12" s="14"/>
      <c r="J12" s="14"/>
      <c r="K12" s="15">
        <v>66</v>
      </c>
      <c r="L12" s="15"/>
      <c r="M12" s="15"/>
      <c r="N12" s="15"/>
      <c r="O12" s="16">
        <f t="shared" si="0"/>
        <v>16.25</v>
      </c>
      <c r="P12" s="16">
        <f t="shared" si="1"/>
        <v>16.25</v>
      </c>
      <c r="Q12" s="17">
        <f t="shared" si="2"/>
        <v>16.5</v>
      </c>
      <c r="R12" s="18">
        <f t="shared" si="3"/>
        <v>16.333333333333332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1">
        <v>6</v>
      </c>
      <c r="B13" s="12" t="s">
        <v>23</v>
      </c>
      <c r="C13" s="13">
        <v>65</v>
      </c>
      <c r="D13" s="13"/>
      <c r="E13" s="13"/>
      <c r="F13" s="13"/>
      <c r="G13" s="14">
        <v>68</v>
      </c>
      <c r="H13" s="14"/>
      <c r="I13" s="14"/>
      <c r="J13" s="14"/>
      <c r="K13" s="15">
        <v>67</v>
      </c>
      <c r="L13" s="15"/>
      <c r="M13" s="15"/>
      <c r="N13" s="15"/>
      <c r="O13" s="16">
        <f t="shared" si="0"/>
        <v>16.25</v>
      </c>
      <c r="P13" s="16">
        <f t="shared" si="1"/>
        <v>17</v>
      </c>
      <c r="Q13" s="17">
        <f t="shared" si="2"/>
        <v>16.75</v>
      </c>
      <c r="R13" s="18">
        <f t="shared" si="3"/>
        <v>16.666666666666668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>
        <v>7</v>
      </c>
      <c r="B14" s="12" t="s">
        <v>24</v>
      </c>
      <c r="C14" s="13">
        <v>85</v>
      </c>
      <c r="D14" s="13"/>
      <c r="E14" s="13"/>
      <c r="F14" s="13"/>
      <c r="G14" s="14">
        <v>87</v>
      </c>
      <c r="H14" s="14"/>
      <c r="I14" s="14"/>
      <c r="J14" s="14"/>
      <c r="K14" s="15">
        <v>86</v>
      </c>
      <c r="L14" s="15"/>
      <c r="M14" s="15"/>
      <c r="N14" s="15"/>
      <c r="O14" s="16">
        <f t="shared" si="0"/>
        <v>21.25</v>
      </c>
      <c r="P14" s="16">
        <f t="shared" si="1"/>
        <v>21.75</v>
      </c>
      <c r="Q14" s="17">
        <f t="shared" si="2"/>
        <v>21.5</v>
      </c>
      <c r="R14" s="18">
        <f t="shared" si="3"/>
        <v>21.5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1">
        <v>8</v>
      </c>
      <c r="B15" s="12" t="s">
        <v>25</v>
      </c>
      <c r="C15" s="13">
        <v>65</v>
      </c>
      <c r="D15" s="13"/>
      <c r="E15" s="13"/>
      <c r="F15" s="13"/>
      <c r="G15" s="14">
        <v>65</v>
      </c>
      <c r="H15" s="14"/>
      <c r="I15" s="14"/>
      <c r="J15" s="14"/>
      <c r="K15" s="15">
        <v>65</v>
      </c>
      <c r="L15" s="15"/>
      <c r="M15" s="15"/>
      <c r="N15" s="15"/>
      <c r="O15" s="16">
        <f t="shared" si="0"/>
        <v>16.25</v>
      </c>
      <c r="P15" s="16">
        <f t="shared" si="1"/>
        <v>16.25</v>
      </c>
      <c r="Q15" s="17">
        <f t="shared" si="2"/>
        <v>16.25</v>
      </c>
      <c r="R15" s="18">
        <f t="shared" si="3"/>
        <v>16.25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1">
        <v>9</v>
      </c>
      <c r="B16" s="12" t="s">
        <v>26</v>
      </c>
      <c r="C16" s="13">
        <v>90</v>
      </c>
      <c r="D16" s="13"/>
      <c r="E16" s="13"/>
      <c r="F16" s="13"/>
      <c r="G16" s="14">
        <v>89</v>
      </c>
      <c r="H16" s="14"/>
      <c r="I16" s="14"/>
      <c r="J16" s="14"/>
      <c r="K16" s="15">
        <v>90</v>
      </c>
      <c r="L16" s="15"/>
      <c r="M16" s="15"/>
      <c r="N16" s="15"/>
      <c r="O16" s="16">
        <f t="shared" si="0"/>
        <v>22.5</v>
      </c>
      <c r="P16" s="16">
        <f t="shared" si="1"/>
        <v>22.25</v>
      </c>
      <c r="Q16" s="17">
        <f t="shared" si="2"/>
        <v>22.5</v>
      </c>
      <c r="R16" s="18">
        <f t="shared" si="3"/>
        <v>22.416666666666668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1">
        <v>10</v>
      </c>
      <c r="B17" s="12" t="s">
        <v>27</v>
      </c>
      <c r="C17" s="13">
        <v>94</v>
      </c>
      <c r="D17" s="13"/>
      <c r="E17" s="13"/>
      <c r="F17" s="13"/>
      <c r="G17" s="14">
        <v>95</v>
      </c>
      <c r="H17" s="14"/>
      <c r="I17" s="14"/>
      <c r="J17" s="14"/>
      <c r="K17" s="15">
        <v>96</v>
      </c>
      <c r="L17" s="15"/>
      <c r="M17" s="15"/>
      <c r="N17" s="15"/>
      <c r="O17" s="16">
        <f t="shared" si="0"/>
        <v>23.5</v>
      </c>
      <c r="P17" s="16">
        <f t="shared" si="1"/>
        <v>23.75</v>
      </c>
      <c r="Q17" s="17">
        <f t="shared" si="2"/>
        <v>24</v>
      </c>
      <c r="R17" s="18">
        <f t="shared" si="3"/>
        <v>23.75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11">
        <v>11</v>
      </c>
      <c r="B18" s="12" t="s">
        <v>28</v>
      </c>
      <c r="C18" s="13">
        <v>91</v>
      </c>
      <c r="D18" s="13"/>
      <c r="E18" s="13"/>
      <c r="F18" s="13"/>
      <c r="G18" s="14">
        <v>90</v>
      </c>
      <c r="H18" s="14"/>
      <c r="I18" s="14"/>
      <c r="J18" s="14"/>
      <c r="K18" s="15">
        <v>92</v>
      </c>
      <c r="L18" s="15"/>
      <c r="M18" s="15"/>
      <c r="N18" s="15"/>
      <c r="O18" s="16">
        <f t="shared" si="0"/>
        <v>22.75</v>
      </c>
      <c r="P18" s="16">
        <f t="shared" si="1"/>
        <v>22.5</v>
      </c>
      <c r="Q18" s="17">
        <f t="shared" si="2"/>
        <v>23</v>
      </c>
      <c r="R18" s="18">
        <f t="shared" si="3"/>
        <v>22.75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1">
        <v>12</v>
      </c>
      <c r="B19" s="12" t="s">
        <v>29</v>
      </c>
      <c r="C19" s="13">
        <v>65</v>
      </c>
      <c r="D19" s="13"/>
      <c r="E19" s="13"/>
      <c r="F19" s="13"/>
      <c r="G19" s="14">
        <v>66</v>
      </c>
      <c r="H19" s="14"/>
      <c r="I19" s="14"/>
      <c r="J19" s="14"/>
      <c r="K19" s="15">
        <v>68</v>
      </c>
      <c r="L19" s="15"/>
      <c r="M19" s="15"/>
      <c r="N19" s="15"/>
      <c r="O19" s="16">
        <f t="shared" si="0"/>
        <v>16.25</v>
      </c>
      <c r="P19" s="16">
        <f t="shared" si="1"/>
        <v>16.5</v>
      </c>
      <c r="Q19" s="17">
        <f t="shared" si="2"/>
        <v>17</v>
      </c>
      <c r="R19" s="18">
        <f t="shared" si="3"/>
        <v>16.583333333333332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1">
        <v>13</v>
      </c>
      <c r="B20" s="12" t="s">
        <v>30</v>
      </c>
      <c r="C20" s="13">
        <v>93</v>
      </c>
      <c r="D20" s="13"/>
      <c r="E20" s="13"/>
      <c r="F20" s="13"/>
      <c r="G20" s="14">
        <v>92</v>
      </c>
      <c r="H20" s="14"/>
      <c r="I20" s="14"/>
      <c r="J20" s="14"/>
      <c r="K20" s="15">
        <v>93</v>
      </c>
      <c r="L20" s="15"/>
      <c r="M20" s="15"/>
      <c r="N20" s="15"/>
      <c r="O20" s="16">
        <f t="shared" si="0"/>
        <v>23.25</v>
      </c>
      <c r="P20" s="16">
        <f t="shared" si="1"/>
        <v>23</v>
      </c>
      <c r="Q20" s="17">
        <f t="shared" si="2"/>
        <v>23.25</v>
      </c>
      <c r="R20" s="18">
        <f t="shared" si="3"/>
        <v>23.166666666666668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1">
        <v>14</v>
      </c>
      <c r="B21" s="12" t="s">
        <v>31</v>
      </c>
      <c r="C21" s="13">
        <v>87</v>
      </c>
      <c r="D21" s="13"/>
      <c r="E21" s="13"/>
      <c r="F21" s="13"/>
      <c r="G21" s="14">
        <v>88</v>
      </c>
      <c r="H21" s="14"/>
      <c r="I21" s="14"/>
      <c r="J21" s="14"/>
      <c r="K21" s="15">
        <v>89</v>
      </c>
      <c r="L21" s="15"/>
      <c r="M21" s="15"/>
      <c r="N21" s="15"/>
      <c r="O21" s="16">
        <f t="shared" si="0"/>
        <v>21.75</v>
      </c>
      <c r="P21" s="16">
        <f t="shared" si="1"/>
        <v>22</v>
      </c>
      <c r="Q21" s="17">
        <f t="shared" si="2"/>
        <v>22.25</v>
      </c>
      <c r="R21" s="18">
        <f t="shared" si="3"/>
        <v>22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1">
        <v>15</v>
      </c>
      <c r="B22" s="12" t="s">
        <v>32</v>
      </c>
      <c r="C22" s="13">
        <v>82</v>
      </c>
      <c r="D22" s="13"/>
      <c r="E22" s="13"/>
      <c r="F22" s="13"/>
      <c r="G22" s="14">
        <v>83</v>
      </c>
      <c r="H22" s="14"/>
      <c r="I22" s="14"/>
      <c r="J22" s="14"/>
      <c r="K22" s="15">
        <v>84</v>
      </c>
      <c r="L22" s="15"/>
      <c r="M22" s="15"/>
      <c r="N22" s="15"/>
      <c r="O22" s="16">
        <f t="shared" si="0"/>
        <v>20.5</v>
      </c>
      <c r="P22" s="16">
        <f t="shared" si="1"/>
        <v>20.75</v>
      </c>
      <c r="Q22" s="17">
        <f t="shared" si="2"/>
        <v>21</v>
      </c>
      <c r="R22" s="18">
        <f t="shared" si="3"/>
        <v>20.75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1">
        <v>16</v>
      </c>
      <c r="B23" s="12" t="s">
        <v>33</v>
      </c>
      <c r="C23" s="13">
        <v>72</v>
      </c>
      <c r="D23" s="13"/>
      <c r="E23" s="13"/>
      <c r="F23" s="13"/>
      <c r="G23" s="14">
        <v>71</v>
      </c>
      <c r="H23" s="14"/>
      <c r="I23" s="14"/>
      <c r="J23" s="14"/>
      <c r="K23" s="15">
        <v>73</v>
      </c>
      <c r="L23" s="15"/>
      <c r="M23" s="15"/>
      <c r="N23" s="15"/>
      <c r="O23" s="16">
        <f t="shared" si="0"/>
        <v>18</v>
      </c>
      <c r="P23" s="16">
        <f t="shared" si="1"/>
        <v>17.75</v>
      </c>
      <c r="Q23" s="17">
        <f t="shared" si="2"/>
        <v>18.25</v>
      </c>
      <c r="R23" s="18">
        <f t="shared" si="3"/>
        <v>18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1">
        <v>17</v>
      </c>
      <c r="B24" s="12" t="s">
        <v>34</v>
      </c>
      <c r="C24" s="13">
        <v>88</v>
      </c>
      <c r="D24" s="13"/>
      <c r="E24" s="13"/>
      <c r="F24" s="13"/>
      <c r="G24" s="14">
        <v>87</v>
      </c>
      <c r="H24" s="14"/>
      <c r="I24" s="14"/>
      <c r="J24" s="14"/>
      <c r="K24" s="15">
        <v>89</v>
      </c>
      <c r="L24" s="15"/>
      <c r="M24" s="15"/>
      <c r="N24" s="15"/>
      <c r="O24" s="16">
        <f t="shared" si="0"/>
        <v>22</v>
      </c>
      <c r="P24" s="16">
        <f t="shared" si="1"/>
        <v>21.75</v>
      </c>
      <c r="Q24" s="17">
        <f t="shared" si="2"/>
        <v>22.25</v>
      </c>
      <c r="R24" s="18">
        <f t="shared" si="3"/>
        <v>22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9">
        <v>18</v>
      </c>
      <c r="B25" s="30" t="s">
        <v>35</v>
      </c>
      <c r="C25" s="32">
        <v>68</v>
      </c>
      <c r="D25" s="32"/>
      <c r="E25" s="32"/>
      <c r="F25" s="32"/>
      <c r="G25" s="32">
        <v>66</v>
      </c>
      <c r="H25" s="32"/>
      <c r="I25" s="32"/>
      <c r="J25" s="32"/>
      <c r="K25" s="32">
        <v>65</v>
      </c>
      <c r="L25" s="32"/>
      <c r="M25" s="32"/>
      <c r="N25" s="32"/>
      <c r="O25" s="16">
        <f t="shared" si="0"/>
        <v>17</v>
      </c>
      <c r="P25" s="16">
        <f t="shared" si="1"/>
        <v>16.5</v>
      </c>
      <c r="Q25" s="17">
        <f t="shared" si="2"/>
        <v>16.25</v>
      </c>
      <c r="R25" s="18">
        <f t="shared" si="3"/>
        <v>16.583333333333332</v>
      </c>
      <c r="S25" s="33"/>
      <c r="T25" s="33"/>
      <c r="U25" s="33"/>
      <c r="V25" s="33"/>
      <c r="W25" s="33"/>
      <c r="X25" s="33"/>
      <c r="Y25" s="33"/>
      <c r="Z25" s="33"/>
      <c r="AA25" s="33"/>
    </row>
    <row r="26" spans="1:27">
      <c r="A26" s="11">
        <v>19</v>
      </c>
      <c r="B26" s="12" t="s">
        <v>36</v>
      </c>
      <c r="C26" s="13">
        <v>92</v>
      </c>
      <c r="D26" s="13"/>
      <c r="E26" s="13"/>
      <c r="F26" s="13"/>
      <c r="G26" s="14">
        <v>91</v>
      </c>
      <c r="H26" s="14"/>
      <c r="I26" s="14"/>
      <c r="J26" s="14"/>
      <c r="K26" s="15">
        <v>93</v>
      </c>
      <c r="L26" s="15"/>
      <c r="M26" s="15"/>
      <c r="N26" s="15"/>
      <c r="O26" s="16">
        <f t="shared" si="0"/>
        <v>23</v>
      </c>
      <c r="P26" s="16">
        <f t="shared" si="1"/>
        <v>22.75</v>
      </c>
      <c r="Q26" s="17">
        <f t="shared" si="2"/>
        <v>23.25</v>
      </c>
      <c r="R26" s="18">
        <f t="shared" si="3"/>
        <v>23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1">
        <v>20</v>
      </c>
      <c r="B27" s="12" t="s">
        <v>37</v>
      </c>
      <c r="C27" s="13">
        <v>87</v>
      </c>
      <c r="D27" s="13"/>
      <c r="E27" s="13"/>
      <c r="F27" s="13"/>
      <c r="G27" s="14">
        <v>88</v>
      </c>
      <c r="H27" s="14"/>
      <c r="I27" s="14"/>
      <c r="J27" s="14"/>
      <c r="K27" s="15">
        <v>89</v>
      </c>
      <c r="L27" s="15"/>
      <c r="M27" s="15"/>
      <c r="N27" s="15"/>
      <c r="O27" s="16">
        <f t="shared" si="0"/>
        <v>21.75</v>
      </c>
      <c r="P27" s="16">
        <f t="shared" si="1"/>
        <v>22</v>
      </c>
      <c r="Q27" s="17">
        <f t="shared" si="2"/>
        <v>22.25</v>
      </c>
      <c r="R27" s="18">
        <f t="shared" si="3"/>
        <v>22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1">
        <v>21</v>
      </c>
      <c r="B28" s="12" t="s">
        <v>38</v>
      </c>
      <c r="C28" s="13">
        <v>89</v>
      </c>
      <c r="D28" s="13"/>
      <c r="E28" s="13"/>
      <c r="F28" s="13"/>
      <c r="G28" s="14">
        <v>90</v>
      </c>
      <c r="H28" s="14"/>
      <c r="I28" s="14"/>
      <c r="J28" s="14"/>
      <c r="K28" s="15">
        <v>91</v>
      </c>
      <c r="L28" s="15"/>
      <c r="M28" s="15"/>
      <c r="N28" s="15"/>
      <c r="O28" s="16">
        <f t="shared" si="0"/>
        <v>22.25</v>
      </c>
      <c r="P28" s="16">
        <f t="shared" si="1"/>
        <v>22.5</v>
      </c>
      <c r="Q28" s="17">
        <f t="shared" si="2"/>
        <v>22.75</v>
      </c>
      <c r="R28" s="18">
        <f t="shared" si="3"/>
        <v>22.5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1">
        <v>22</v>
      </c>
      <c r="B29" s="12" t="s">
        <v>39</v>
      </c>
      <c r="C29" s="13">
        <v>65</v>
      </c>
      <c r="D29" s="13"/>
      <c r="E29" s="13"/>
      <c r="F29" s="13"/>
      <c r="G29" s="14">
        <v>65</v>
      </c>
      <c r="H29" s="14"/>
      <c r="I29" s="14"/>
      <c r="J29" s="14"/>
      <c r="K29" s="15">
        <v>66</v>
      </c>
      <c r="L29" s="15"/>
      <c r="M29" s="15"/>
      <c r="N29" s="15"/>
      <c r="O29" s="16">
        <f t="shared" si="0"/>
        <v>16.25</v>
      </c>
      <c r="P29" s="16">
        <f t="shared" si="1"/>
        <v>16.25</v>
      </c>
      <c r="Q29" s="17">
        <f t="shared" si="2"/>
        <v>16.5</v>
      </c>
      <c r="R29" s="18">
        <f t="shared" si="3"/>
        <v>16.333333333333332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1">
        <v>23</v>
      </c>
      <c r="B30" s="12" t="s">
        <v>40</v>
      </c>
      <c r="C30" s="13">
        <v>65</v>
      </c>
      <c r="D30" s="13"/>
      <c r="E30" s="13"/>
      <c r="F30" s="13"/>
      <c r="G30" s="14">
        <v>65</v>
      </c>
      <c r="H30" s="14"/>
      <c r="I30" s="14"/>
      <c r="J30" s="14"/>
      <c r="K30" s="15">
        <v>67</v>
      </c>
      <c r="L30" s="15"/>
      <c r="M30" s="15"/>
      <c r="N30" s="15"/>
      <c r="O30" s="16">
        <f t="shared" si="0"/>
        <v>16.25</v>
      </c>
      <c r="P30" s="16">
        <f t="shared" si="1"/>
        <v>16.25</v>
      </c>
      <c r="Q30" s="17">
        <f t="shared" si="2"/>
        <v>16.75</v>
      </c>
      <c r="R30" s="18">
        <f t="shared" si="3"/>
        <v>16.416666666666668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1">
        <v>24</v>
      </c>
      <c r="B31" s="12" t="s">
        <v>41</v>
      </c>
      <c r="C31" s="13">
        <v>73</v>
      </c>
      <c r="D31" s="13"/>
      <c r="E31" s="13"/>
      <c r="F31" s="13"/>
      <c r="G31" s="14">
        <v>74</v>
      </c>
      <c r="H31" s="14"/>
      <c r="I31" s="14"/>
      <c r="J31" s="14"/>
      <c r="K31" s="15">
        <v>75</v>
      </c>
      <c r="L31" s="15"/>
      <c r="M31" s="15"/>
      <c r="N31" s="15"/>
      <c r="O31" s="16">
        <f t="shared" si="0"/>
        <v>18.25</v>
      </c>
      <c r="P31" s="16">
        <f t="shared" si="1"/>
        <v>18.5</v>
      </c>
      <c r="Q31" s="17">
        <f t="shared" si="2"/>
        <v>18.75</v>
      </c>
      <c r="R31" s="18">
        <f t="shared" si="3"/>
        <v>18.5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1">
        <v>25</v>
      </c>
      <c r="B32" s="12" t="s">
        <v>42</v>
      </c>
      <c r="C32" s="13">
        <v>88</v>
      </c>
      <c r="D32" s="13"/>
      <c r="E32" s="13"/>
      <c r="F32" s="13"/>
      <c r="G32" s="14">
        <v>89</v>
      </c>
      <c r="H32" s="14"/>
      <c r="I32" s="14"/>
      <c r="J32" s="14"/>
      <c r="K32" s="15">
        <v>90</v>
      </c>
      <c r="L32" s="15"/>
      <c r="M32" s="15"/>
      <c r="N32" s="15"/>
      <c r="O32" s="16">
        <f t="shared" si="0"/>
        <v>22</v>
      </c>
      <c r="P32" s="16">
        <f t="shared" si="1"/>
        <v>22.25</v>
      </c>
      <c r="Q32" s="17">
        <f t="shared" si="2"/>
        <v>22.5</v>
      </c>
      <c r="R32" s="18">
        <f t="shared" si="3"/>
        <v>22.25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1">
        <v>26</v>
      </c>
      <c r="B33" s="12" t="s">
        <v>43</v>
      </c>
      <c r="C33" s="13">
        <v>95</v>
      </c>
      <c r="D33" s="13"/>
      <c r="E33" s="13"/>
      <c r="F33" s="13"/>
      <c r="G33" s="14">
        <v>94</v>
      </c>
      <c r="H33" s="14"/>
      <c r="I33" s="14"/>
      <c r="J33" s="14"/>
      <c r="K33" s="15">
        <v>96</v>
      </c>
      <c r="L33" s="15"/>
      <c r="M33" s="15"/>
      <c r="N33" s="15"/>
      <c r="O33" s="16">
        <f t="shared" si="0"/>
        <v>23.75</v>
      </c>
      <c r="P33" s="16">
        <f t="shared" si="1"/>
        <v>23.5</v>
      </c>
      <c r="Q33" s="17">
        <f t="shared" si="2"/>
        <v>24</v>
      </c>
      <c r="R33" s="18">
        <f t="shared" si="3"/>
        <v>23.75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1">
        <v>27</v>
      </c>
      <c r="B34" s="12" t="s">
        <v>44</v>
      </c>
      <c r="C34" s="13">
        <v>87</v>
      </c>
      <c r="D34" s="13"/>
      <c r="E34" s="13"/>
      <c r="F34" s="13"/>
      <c r="G34" s="14">
        <v>88</v>
      </c>
      <c r="H34" s="14"/>
      <c r="I34" s="14"/>
      <c r="J34" s="14"/>
      <c r="K34" s="15">
        <v>89</v>
      </c>
      <c r="L34" s="15"/>
      <c r="M34" s="15"/>
      <c r="N34" s="15"/>
      <c r="O34" s="16">
        <f t="shared" si="0"/>
        <v>21.75</v>
      </c>
      <c r="P34" s="16">
        <f t="shared" si="1"/>
        <v>22</v>
      </c>
      <c r="Q34" s="17">
        <f t="shared" si="2"/>
        <v>22.25</v>
      </c>
      <c r="R34" s="18">
        <f t="shared" si="3"/>
        <v>22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1">
        <v>28</v>
      </c>
      <c r="B35" s="12" t="s">
        <v>45</v>
      </c>
      <c r="C35" s="13">
        <v>90</v>
      </c>
      <c r="D35" s="13"/>
      <c r="E35" s="13"/>
      <c r="F35" s="13"/>
      <c r="G35" s="14">
        <v>89</v>
      </c>
      <c r="H35" s="14"/>
      <c r="I35" s="14"/>
      <c r="J35" s="14"/>
      <c r="K35" s="15">
        <v>90</v>
      </c>
      <c r="L35" s="15"/>
      <c r="M35" s="15"/>
      <c r="N35" s="15"/>
      <c r="O35" s="16">
        <f t="shared" si="0"/>
        <v>22.5</v>
      </c>
      <c r="P35" s="16">
        <f t="shared" si="1"/>
        <v>22.25</v>
      </c>
      <c r="Q35" s="17">
        <f t="shared" si="2"/>
        <v>22.5</v>
      </c>
      <c r="R35" s="18">
        <f t="shared" si="3"/>
        <v>22.416666666666668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1">
        <v>29</v>
      </c>
      <c r="B36" s="12" t="s">
        <v>46</v>
      </c>
      <c r="C36" s="13">
        <v>83</v>
      </c>
      <c r="D36" s="13"/>
      <c r="E36" s="13"/>
      <c r="F36" s="13"/>
      <c r="G36" s="14">
        <v>82</v>
      </c>
      <c r="H36" s="14"/>
      <c r="I36" s="14"/>
      <c r="J36" s="14"/>
      <c r="K36" s="15">
        <v>84</v>
      </c>
      <c r="L36" s="15"/>
      <c r="M36" s="15"/>
      <c r="N36" s="15"/>
      <c r="O36" s="16">
        <f t="shared" si="0"/>
        <v>20.75</v>
      </c>
      <c r="P36" s="16">
        <f t="shared" si="1"/>
        <v>20.5</v>
      </c>
      <c r="Q36" s="17">
        <f t="shared" si="2"/>
        <v>21</v>
      </c>
      <c r="R36" s="18">
        <f t="shared" si="3"/>
        <v>20.75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28"/>
      <c r="E37" s="1"/>
      <c r="F37" s="1"/>
    </row>
    <row r="38" spans="1:27" ht="15">
      <c r="A38" s="1"/>
      <c r="B38" s="1"/>
      <c r="C38" s="1"/>
      <c r="D38" s="1"/>
      <c r="E38" s="1"/>
      <c r="F38" s="1"/>
    </row>
    <row r="39" spans="1:27" ht="15">
      <c r="A39" s="1"/>
      <c r="B39" s="1"/>
      <c r="C39" s="1"/>
      <c r="D39" s="1"/>
      <c r="E39" s="1"/>
      <c r="F39" s="1"/>
    </row>
    <row r="40" spans="1:27" ht="15">
      <c r="A40" s="1"/>
      <c r="B40" s="1"/>
      <c r="C40" s="1"/>
      <c r="D40" s="1"/>
      <c r="E40" s="1"/>
      <c r="F40" s="1"/>
    </row>
    <row r="41" spans="1:27" ht="15">
      <c r="A41" s="1"/>
      <c r="B41" s="1"/>
      <c r="C41" s="1"/>
      <c r="D41" s="1"/>
      <c r="E41" s="1"/>
      <c r="F41" s="1"/>
    </row>
    <row r="42" spans="1:27" ht="15">
      <c r="A42" s="1"/>
      <c r="B42" s="1"/>
      <c r="C42" s="1"/>
      <c r="D42" s="1"/>
      <c r="E42" s="1"/>
      <c r="F42" s="1"/>
    </row>
    <row r="43" spans="1:27" ht="15">
      <c r="A43" s="1"/>
      <c r="B43" s="1"/>
      <c r="C43" s="1"/>
      <c r="D43" s="1"/>
      <c r="E43" s="1"/>
      <c r="F43" s="1"/>
    </row>
    <row r="44" spans="1:27" ht="15">
      <c r="A44" s="1"/>
      <c r="B44" s="1"/>
      <c r="C44" s="1"/>
      <c r="D44" s="1"/>
      <c r="E44" s="1"/>
      <c r="F44" s="1"/>
    </row>
    <row r="45" spans="1:27" ht="15">
      <c r="A45" s="1"/>
      <c r="B45" s="1"/>
      <c r="C45" s="1"/>
      <c r="D45" s="1"/>
      <c r="E45" s="1"/>
      <c r="F45" s="1"/>
    </row>
    <row r="46" spans="1:27" ht="15">
      <c r="A46" s="1"/>
      <c r="B46" s="1"/>
      <c r="C46" s="1"/>
      <c r="D46" s="1"/>
      <c r="E46" s="1"/>
      <c r="F46" s="1"/>
    </row>
    <row r="47" spans="1:27" ht="15">
      <c r="A47" s="1"/>
      <c r="B47" s="1"/>
      <c r="C47" s="1"/>
      <c r="D47" s="1"/>
      <c r="E47" s="1"/>
      <c r="F47" s="1"/>
    </row>
    <row r="48" spans="1:27" ht="15">
      <c r="A48" s="1"/>
      <c r="B48" s="1"/>
      <c r="C48" s="1"/>
      <c r="D48" s="1"/>
      <c r="E48" s="1"/>
      <c r="F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8">
    <mergeCell ref="A1:A7"/>
    <mergeCell ref="B1:B7"/>
    <mergeCell ref="R1:R7"/>
    <mergeCell ref="O5:Q6"/>
    <mergeCell ref="K5:N6"/>
    <mergeCell ref="G5:J6"/>
    <mergeCell ref="C5:F6"/>
    <mergeCell ref="C1:Q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8"/>
  <sheetViews>
    <sheetView tabSelected="1" workbookViewId="0">
      <pane xSplit="2" topLeftCell="C1" activePane="topRight" state="frozen"/>
      <selection pane="topRight" activeCell="L8" sqref="L8:N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14" width="4.7109375" customWidth="1"/>
    <col min="15" max="17" width="7.85546875" customWidth="1"/>
    <col min="18" max="18" width="12.28515625" customWidth="1"/>
  </cols>
  <sheetData>
    <row r="1" spans="1:27" ht="15.75" customHeight="1">
      <c r="A1" s="40" t="s">
        <v>48</v>
      </c>
      <c r="B1" s="42" t="s">
        <v>1</v>
      </c>
      <c r="C1" s="55" t="s">
        <v>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5" t="s">
        <v>3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1"/>
      <c r="B2" s="43"/>
      <c r="C2" s="5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57"/>
      <c r="R2" s="43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41"/>
      <c r="B3" s="43"/>
      <c r="C3" s="56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7"/>
      <c r="R3" s="43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/>
      <c r="B4" s="43"/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43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/>
      <c r="B5" s="43"/>
      <c r="C5" s="54" t="s">
        <v>4</v>
      </c>
      <c r="D5" s="47"/>
      <c r="E5" s="47"/>
      <c r="F5" s="48"/>
      <c r="G5" s="53" t="s">
        <v>5</v>
      </c>
      <c r="H5" s="47"/>
      <c r="I5" s="47"/>
      <c r="J5" s="48"/>
      <c r="K5" s="52" t="s">
        <v>6</v>
      </c>
      <c r="L5" s="47"/>
      <c r="M5" s="47"/>
      <c r="N5" s="48"/>
      <c r="O5" s="46" t="s">
        <v>7</v>
      </c>
      <c r="P5" s="47"/>
      <c r="Q5" s="48"/>
      <c r="R5" s="43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41"/>
      <c r="B6" s="43"/>
      <c r="C6" s="49"/>
      <c r="D6" s="50"/>
      <c r="E6" s="50"/>
      <c r="F6" s="51"/>
      <c r="G6" s="49"/>
      <c r="H6" s="50"/>
      <c r="I6" s="50"/>
      <c r="J6" s="51"/>
      <c r="K6" s="49"/>
      <c r="L6" s="50"/>
      <c r="M6" s="50"/>
      <c r="N6" s="51"/>
      <c r="O6" s="49"/>
      <c r="P6" s="50"/>
      <c r="Q6" s="51"/>
      <c r="R6" s="43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41"/>
      <c r="B7" s="44"/>
      <c r="C7" s="2" t="s">
        <v>8</v>
      </c>
      <c r="D7" s="3" t="s">
        <v>12</v>
      </c>
      <c r="E7" s="3" t="s">
        <v>13</v>
      </c>
      <c r="F7" s="5" t="s">
        <v>14</v>
      </c>
      <c r="G7" s="6" t="s">
        <v>8</v>
      </c>
      <c r="H7" s="6" t="s">
        <v>12</v>
      </c>
      <c r="I7" s="6" t="s">
        <v>13</v>
      </c>
      <c r="J7" s="6" t="s">
        <v>14</v>
      </c>
      <c r="K7" s="7" t="s">
        <v>8</v>
      </c>
      <c r="L7" s="7" t="s">
        <v>12</v>
      </c>
      <c r="M7" s="7" t="s">
        <v>13</v>
      </c>
      <c r="N7" s="7" t="s">
        <v>14</v>
      </c>
      <c r="O7" s="8" t="s">
        <v>15</v>
      </c>
      <c r="P7" s="9" t="s">
        <v>16</v>
      </c>
      <c r="Q7" s="10" t="s">
        <v>17</v>
      </c>
      <c r="R7" s="44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1">
        <v>1</v>
      </c>
      <c r="B8" s="12" t="s">
        <v>18</v>
      </c>
      <c r="C8" s="13">
        <v>82</v>
      </c>
      <c r="D8" s="13">
        <v>82</v>
      </c>
      <c r="E8" s="13">
        <v>85</v>
      </c>
      <c r="F8" s="13">
        <v>89</v>
      </c>
      <c r="G8" s="14">
        <v>83</v>
      </c>
      <c r="H8" s="14">
        <v>82</v>
      </c>
      <c r="I8" s="14">
        <v>85</v>
      </c>
      <c r="J8" s="14">
        <v>89</v>
      </c>
      <c r="K8" s="15">
        <v>85</v>
      </c>
      <c r="L8" s="15">
        <v>82</v>
      </c>
      <c r="M8" s="15">
        <v>85</v>
      </c>
      <c r="N8" s="15">
        <v>89</v>
      </c>
      <c r="O8" s="16">
        <f t="shared" ref="O8:O36" si="0">(C8+D8+E8+F8)/4</f>
        <v>84.5</v>
      </c>
      <c r="P8" s="16">
        <f t="shared" ref="P8:P36" si="1">(G8+H8+I8+J8)/4</f>
        <v>84.75</v>
      </c>
      <c r="Q8" s="17">
        <f t="shared" ref="Q8:Q36" si="2">(K8+L8+M8+N8)/4</f>
        <v>85.25</v>
      </c>
      <c r="R8" s="18">
        <f t="shared" ref="R8:R36" si="3">SUM(O8:Q8)/3</f>
        <v>84.833333333333329</v>
      </c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1">
        <v>2</v>
      </c>
      <c r="B9" s="12" t="s">
        <v>19</v>
      </c>
      <c r="C9" s="13">
        <v>65</v>
      </c>
      <c r="D9" s="13"/>
      <c r="E9" s="13"/>
      <c r="F9" s="13"/>
      <c r="G9" s="14">
        <v>65</v>
      </c>
      <c r="H9" s="14"/>
      <c r="I9" s="14"/>
      <c r="J9" s="14"/>
      <c r="K9" s="15">
        <v>66</v>
      </c>
      <c r="L9" s="15"/>
      <c r="M9" s="15"/>
      <c r="N9" s="15"/>
      <c r="O9" s="16">
        <f t="shared" si="0"/>
        <v>16.25</v>
      </c>
      <c r="P9" s="16">
        <f t="shared" si="1"/>
        <v>16.25</v>
      </c>
      <c r="Q9" s="17">
        <f t="shared" si="2"/>
        <v>16.5</v>
      </c>
      <c r="R9" s="18">
        <f t="shared" si="3"/>
        <v>16.333333333333332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1">
        <v>3</v>
      </c>
      <c r="B10" s="12" t="s">
        <v>20</v>
      </c>
      <c r="C10" s="13">
        <v>100</v>
      </c>
      <c r="D10" s="13"/>
      <c r="E10" s="13"/>
      <c r="F10" s="13"/>
      <c r="G10" s="14">
        <v>100</v>
      </c>
      <c r="H10" s="14"/>
      <c r="I10" s="14"/>
      <c r="J10" s="14"/>
      <c r="K10" s="15">
        <v>100</v>
      </c>
      <c r="L10" s="15"/>
      <c r="M10" s="15"/>
      <c r="N10" s="15"/>
      <c r="O10" s="16">
        <f t="shared" si="0"/>
        <v>25</v>
      </c>
      <c r="P10" s="16">
        <f t="shared" si="1"/>
        <v>25</v>
      </c>
      <c r="Q10" s="17">
        <f t="shared" si="2"/>
        <v>25</v>
      </c>
      <c r="R10" s="18">
        <f t="shared" si="3"/>
        <v>25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1">
        <v>4</v>
      </c>
      <c r="B11" s="12" t="s">
        <v>21</v>
      </c>
      <c r="C11" s="13">
        <v>84</v>
      </c>
      <c r="D11" s="13"/>
      <c r="E11" s="13"/>
      <c r="F11" s="13"/>
      <c r="G11" s="14">
        <v>82</v>
      </c>
      <c r="H11" s="14"/>
      <c r="I11" s="14"/>
      <c r="J11" s="14"/>
      <c r="K11" s="15">
        <v>86</v>
      </c>
      <c r="L11" s="15"/>
      <c r="M11" s="15"/>
      <c r="N11" s="15"/>
      <c r="O11" s="16">
        <f t="shared" si="0"/>
        <v>21</v>
      </c>
      <c r="P11" s="16">
        <f t="shared" si="1"/>
        <v>20.5</v>
      </c>
      <c r="Q11" s="17">
        <f t="shared" si="2"/>
        <v>21.5</v>
      </c>
      <c r="R11" s="18">
        <f t="shared" si="3"/>
        <v>21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1">
        <v>5</v>
      </c>
      <c r="B12" s="12" t="s">
        <v>22</v>
      </c>
      <c r="C12" s="13">
        <v>65</v>
      </c>
      <c r="D12" s="13"/>
      <c r="E12" s="13"/>
      <c r="F12" s="13"/>
      <c r="G12" s="14">
        <v>65</v>
      </c>
      <c r="H12" s="14"/>
      <c r="I12" s="14"/>
      <c r="J12" s="14"/>
      <c r="K12" s="15">
        <v>66</v>
      </c>
      <c r="L12" s="15"/>
      <c r="M12" s="15"/>
      <c r="N12" s="15"/>
      <c r="O12" s="16">
        <f t="shared" si="0"/>
        <v>16.25</v>
      </c>
      <c r="P12" s="16">
        <f t="shared" si="1"/>
        <v>16.25</v>
      </c>
      <c r="Q12" s="17">
        <f t="shared" si="2"/>
        <v>16.5</v>
      </c>
      <c r="R12" s="18">
        <f t="shared" si="3"/>
        <v>16.333333333333332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1">
        <v>6</v>
      </c>
      <c r="B13" s="12" t="s">
        <v>23</v>
      </c>
      <c r="C13" s="13">
        <v>68</v>
      </c>
      <c r="D13" s="13"/>
      <c r="E13" s="13"/>
      <c r="F13" s="13"/>
      <c r="G13" s="14">
        <v>65</v>
      </c>
      <c r="H13" s="14"/>
      <c r="I13" s="14"/>
      <c r="J13" s="14"/>
      <c r="K13" s="15">
        <v>65</v>
      </c>
      <c r="L13" s="15"/>
      <c r="M13" s="15"/>
      <c r="N13" s="15"/>
      <c r="O13" s="16">
        <f t="shared" si="0"/>
        <v>17</v>
      </c>
      <c r="P13" s="16">
        <f t="shared" si="1"/>
        <v>16.25</v>
      </c>
      <c r="Q13" s="17">
        <f t="shared" si="2"/>
        <v>16.25</v>
      </c>
      <c r="R13" s="18">
        <f t="shared" si="3"/>
        <v>16.5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>
        <v>7</v>
      </c>
      <c r="B14" s="12" t="s">
        <v>24</v>
      </c>
      <c r="C14" s="13">
        <v>87</v>
      </c>
      <c r="D14" s="13"/>
      <c r="E14" s="13"/>
      <c r="F14" s="13"/>
      <c r="G14" s="14">
        <v>89</v>
      </c>
      <c r="H14" s="14"/>
      <c r="I14" s="14"/>
      <c r="J14" s="14"/>
      <c r="K14" s="15">
        <v>88</v>
      </c>
      <c r="L14" s="15"/>
      <c r="M14" s="15"/>
      <c r="N14" s="15"/>
      <c r="O14" s="16">
        <f t="shared" si="0"/>
        <v>21.75</v>
      </c>
      <c r="P14" s="16">
        <f t="shared" si="1"/>
        <v>22.25</v>
      </c>
      <c r="Q14" s="17">
        <f t="shared" si="2"/>
        <v>22</v>
      </c>
      <c r="R14" s="18">
        <f t="shared" si="3"/>
        <v>22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1">
        <v>8</v>
      </c>
      <c r="B15" s="12" t="s">
        <v>25</v>
      </c>
      <c r="C15" s="13">
        <v>65</v>
      </c>
      <c r="D15" s="13"/>
      <c r="E15" s="13"/>
      <c r="F15" s="13"/>
      <c r="G15" s="14">
        <v>67</v>
      </c>
      <c r="H15" s="14"/>
      <c r="I15" s="14"/>
      <c r="J15" s="14"/>
      <c r="K15" s="15">
        <v>65</v>
      </c>
      <c r="L15" s="15"/>
      <c r="M15" s="15"/>
      <c r="N15" s="15"/>
      <c r="O15" s="16">
        <f t="shared" si="0"/>
        <v>16.25</v>
      </c>
      <c r="P15" s="16">
        <f t="shared" si="1"/>
        <v>16.75</v>
      </c>
      <c r="Q15" s="17">
        <f t="shared" si="2"/>
        <v>16.25</v>
      </c>
      <c r="R15" s="18">
        <f t="shared" si="3"/>
        <v>16.416666666666668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1">
        <v>9</v>
      </c>
      <c r="B16" s="12" t="s">
        <v>26</v>
      </c>
      <c r="C16" s="13">
        <v>92</v>
      </c>
      <c r="D16" s="13"/>
      <c r="E16" s="13"/>
      <c r="F16" s="13"/>
      <c r="G16" s="14">
        <v>91</v>
      </c>
      <c r="H16" s="14"/>
      <c r="I16" s="14"/>
      <c r="J16" s="14"/>
      <c r="K16" s="15">
        <v>92</v>
      </c>
      <c r="L16" s="15"/>
      <c r="M16" s="15"/>
      <c r="N16" s="15"/>
      <c r="O16" s="16">
        <f t="shared" si="0"/>
        <v>23</v>
      </c>
      <c r="P16" s="16">
        <f t="shared" si="1"/>
        <v>22.75</v>
      </c>
      <c r="Q16" s="17">
        <f t="shared" si="2"/>
        <v>23</v>
      </c>
      <c r="R16" s="18">
        <f t="shared" si="3"/>
        <v>22.916666666666668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1">
        <v>10</v>
      </c>
      <c r="B17" s="12" t="s">
        <v>27</v>
      </c>
      <c r="C17" s="13">
        <v>96</v>
      </c>
      <c r="D17" s="13"/>
      <c r="E17" s="13"/>
      <c r="F17" s="13"/>
      <c r="G17" s="14">
        <v>97</v>
      </c>
      <c r="H17" s="14"/>
      <c r="I17" s="14"/>
      <c r="J17" s="14"/>
      <c r="K17" s="15">
        <v>98</v>
      </c>
      <c r="L17" s="15"/>
      <c r="M17" s="15"/>
      <c r="N17" s="15"/>
      <c r="O17" s="16">
        <f t="shared" si="0"/>
        <v>24</v>
      </c>
      <c r="P17" s="16">
        <f t="shared" si="1"/>
        <v>24.25</v>
      </c>
      <c r="Q17" s="17">
        <f t="shared" si="2"/>
        <v>24.5</v>
      </c>
      <c r="R17" s="18">
        <f t="shared" si="3"/>
        <v>24.25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11">
        <v>11</v>
      </c>
      <c r="B18" s="12" t="s">
        <v>28</v>
      </c>
      <c r="C18" s="13">
        <v>93</v>
      </c>
      <c r="D18" s="13"/>
      <c r="E18" s="13"/>
      <c r="F18" s="13"/>
      <c r="G18" s="14">
        <v>92</v>
      </c>
      <c r="H18" s="14"/>
      <c r="I18" s="14"/>
      <c r="J18" s="14"/>
      <c r="K18" s="15">
        <v>94</v>
      </c>
      <c r="L18" s="15"/>
      <c r="M18" s="15"/>
      <c r="N18" s="15"/>
      <c r="O18" s="16">
        <f t="shared" si="0"/>
        <v>23.25</v>
      </c>
      <c r="P18" s="16">
        <f t="shared" si="1"/>
        <v>23</v>
      </c>
      <c r="Q18" s="17">
        <f t="shared" si="2"/>
        <v>23.5</v>
      </c>
      <c r="R18" s="18">
        <f t="shared" si="3"/>
        <v>23.25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1">
        <v>12</v>
      </c>
      <c r="B19" s="12" t="s">
        <v>29</v>
      </c>
      <c r="C19" s="13">
        <v>67</v>
      </c>
      <c r="D19" s="13"/>
      <c r="E19" s="13"/>
      <c r="F19" s="13"/>
      <c r="G19" s="14">
        <v>66</v>
      </c>
      <c r="H19" s="14"/>
      <c r="I19" s="14"/>
      <c r="J19" s="14"/>
      <c r="K19" s="15">
        <v>67</v>
      </c>
      <c r="L19" s="15"/>
      <c r="M19" s="15"/>
      <c r="N19" s="15"/>
      <c r="O19" s="16">
        <f t="shared" si="0"/>
        <v>16.75</v>
      </c>
      <c r="P19" s="16">
        <f t="shared" si="1"/>
        <v>16.5</v>
      </c>
      <c r="Q19" s="17">
        <f t="shared" si="2"/>
        <v>16.75</v>
      </c>
      <c r="R19" s="18">
        <f t="shared" si="3"/>
        <v>16.666666666666668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1">
        <v>13</v>
      </c>
      <c r="B20" s="12" t="s">
        <v>30</v>
      </c>
      <c r="C20" s="13">
        <v>95</v>
      </c>
      <c r="D20" s="13"/>
      <c r="E20" s="13"/>
      <c r="F20" s="13"/>
      <c r="G20" s="14">
        <v>94</v>
      </c>
      <c r="H20" s="14"/>
      <c r="I20" s="14"/>
      <c r="J20" s="14"/>
      <c r="K20" s="15">
        <v>95</v>
      </c>
      <c r="L20" s="15"/>
      <c r="M20" s="15"/>
      <c r="N20" s="15"/>
      <c r="O20" s="16">
        <f t="shared" si="0"/>
        <v>23.75</v>
      </c>
      <c r="P20" s="16">
        <f t="shared" si="1"/>
        <v>23.5</v>
      </c>
      <c r="Q20" s="17">
        <f t="shared" si="2"/>
        <v>23.75</v>
      </c>
      <c r="R20" s="18">
        <f t="shared" si="3"/>
        <v>23.666666666666668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1">
        <v>14</v>
      </c>
      <c r="B21" s="12" t="s">
        <v>31</v>
      </c>
      <c r="C21" s="13">
        <v>89</v>
      </c>
      <c r="D21" s="13"/>
      <c r="E21" s="13"/>
      <c r="F21" s="13"/>
      <c r="G21" s="14">
        <v>90</v>
      </c>
      <c r="H21" s="14"/>
      <c r="I21" s="14"/>
      <c r="J21" s="14"/>
      <c r="K21" s="15">
        <v>91</v>
      </c>
      <c r="L21" s="15"/>
      <c r="M21" s="15"/>
      <c r="N21" s="15"/>
      <c r="O21" s="16">
        <f t="shared" si="0"/>
        <v>22.25</v>
      </c>
      <c r="P21" s="16">
        <f t="shared" si="1"/>
        <v>22.5</v>
      </c>
      <c r="Q21" s="17">
        <f t="shared" si="2"/>
        <v>22.75</v>
      </c>
      <c r="R21" s="18">
        <f t="shared" si="3"/>
        <v>22.5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1">
        <v>15</v>
      </c>
      <c r="B22" s="12" t="s">
        <v>32</v>
      </c>
      <c r="C22" s="13">
        <v>84</v>
      </c>
      <c r="D22" s="13"/>
      <c r="E22" s="13"/>
      <c r="F22" s="13"/>
      <c r="G22" s="14">
        <v>85</v>
      </c>
      <c r="H22" s="14"/>
      <c r="I22" s="14"/>
      <c r="J22" s="14"/>
      <c r="K22" s="15">
        <v>86</v>
      </c>
      <c r="L22" s="15"/>
      <c r="M22" s="15"/>
      <c r="N22" s="15"/>
      <c r="O22" s="16">
        <f t="shared" si="0"/>
        <v>21</v>
      </c>
      <c r="P22" s="16">
        <f t="shared" si="1"/>
        <v>21.25</v>
      </c>
      <c r="Q22" s="17">
        <f t="shared" si="2"/>
        <v>21.5</v>
      </c>
      <c r="R22" s="18">
        <f t="shared" si="3"/>
        <v>21.25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1">
        <v>16</v>
      </c>
      <c r="B23" s="12" t="s">
        <v>33</v>
      </c>
      <c r="C23" s="13">
        <v>74</v>
      </c>
      <c r="D23" s="13"/>
      <c r="E23" s="13"/>
      <c r="F23" s="13"/>
      <c r="G23" s="14">
        <v>73</v>
      </c>
      <c r="H23" s="14"/>
      <c r="I23" s="14"/>
      <c r="J23" s="14"/>
      <c r="K23" s="15">
        <v>75</v>
      </c>
      <c r="L23" s="15"/>
      <c r="M23" s="15"/>
      <c r="N23" s="15"/>
      <c r="O23" s="16">
        <f t="shared" si="0"/>
        <v>18.5</v>
      </c>
      <c r="P23" s="16">
        <f t="shared" si="1"/>
        <v>18.25</v>
      </c>
      <c r="Q23" s="17">
        <f t="shared" si="2"/>
        <v>18.75</v>
      </c>
      <c r="R23" s="18">
        <f t="shared" si="3"/>
        <v>18.5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1">
        <v>17</v>
      </c>
      <c r="B24" s="12" t="s">
        <v>34</v>
      </c>
      <c r="C24" s="13">
        <v>90</v>
      </c>
      <c r="D24" s="13"/>
      <c r="E24" s="13"/>
      <c r="F24" s="13"/>
      <c r="G24" s="14">
        <v>89</v>
      </c>
      <c r="H24" s="14"/>
      <c r="I24" s="14"/>
      <c r="J24" s="14"/>
      <c r="K24" s="15">
        <v>91</v>
      </c>
      <c r="L24" s="15"/>
      <c r="M24" s="15"/>
      <c r="N24" s="15"/>
      <c r="O24" s="16">
        <f t="shared" si="0"/>
        <v>22.5</v>
      </c>
      <c r="P24" s="16">
        <f t="shared" si="1"/>
        <v>22.25</v>
      </c>
      <c r="Q24" s="17">
        <f t="shared" si="2"/>
        <v>22.75</v>
      </c>
      <c r="R24" s="18">
        <f t="shared" si="3"/>
        <v>22.5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9">
        <v>18</v>
      </c>
      <c r="B25" s="30" t="s">
        <v>35</v>
      </c>
      <c r="C25" s="32">
        <v>67</v>
      </c>
      <c r="D25" s="32"/>
      <c r="E25" s="32"/>
      <c r="F25" s="32"/>
      <c r="G25" s="32">
        <v>68</v>
      </c>
      <c r="H25" s="32"/>
      <c r="I25" s="32"/>
      <c r="J25" s="32"/>
      <c r="K25" s="32">
        <v>67</v>
      </c>
      <c r="L25" s="32"/>
      <c r="M25" s="32"/>
      <c r="N25" s="32"/>
      <c r="O25" s="16">
        <f t="shared" si="0"/>
        <v>16.75</v>
      </c>
      <c r="P25" s="16">
        <f t="shared" si="1"/>
        <v>17</v>
      </c>
      <c r="Q25" s="17">
        <f t="shared" si="2"/>
        <v>16.75</v>
      </c>
      <c r="R25" s="18">
        <f t="shared" si="3"/>
        <v>16.833333333333332</v>
      </c>
      <c r="S25" s="33"/>
      <c r="T25" s="33"/>
      <c r="U25" s="33"/>
      <c r="V25" s="33"/>
      <c r="W25" s="33"/>
      <c r="X25" s="33"/>
      <c r="Y25" s="33"/>
      <c r="Z25" s="33"/>
      <c r="AA25" s="33"/>
    </row>
    <row r="26" spans="1:27">
      <c r="A26" s="11">
        <v>19</v>
      </c>
      <c r="B26" s="12" t="s">
        <v>36</v>
      </c>
      <c r="C26" s="13">
        <v>94</v>
      </c>
      <c r="D26" s="13"/>
      <c r="E26" s="13"/>
      <c r="F26" s="13"/>
      <c r="G26" s="14">
        <v>93</v>
      </c>
      <c r="H26" s="14"/>
      <c r="I26" s="14"/>
      <c r="J26" s="14"/>
      <c r="K26" s="15">
        <v>95</v>
      </c>
      <c r="L26" s="15"/>
      <c r="M26" s="15"/>
      <c r="N26" s="15"/>
      <c r="O26" s="16">
        <f t="shared" si="0"/>
        <v>23.5</v>
      </c>
      <c r="P26" s="16">
        <f t="shared" si="1"/>
        <v>23.25</v>
      </c>
      <c r="Q26" s="17">
        <f t="shared" si="2"/>
        <v>23.75</v>
      </c>
      <c r="R26" s="18">
        <f t="shared" si="3"/>
        <v>23.5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1">
        <v>20</v>
      </c>
      <c r="B27" s="12" t="s">
        <v>37</v>
      </c>
      <c r="C27" s="13">
        <v>89</v>
      </c>
      <c r="D27" s="13"/>
      <c r="E27" s="13"/>
      <c r="F27" s="13"/>
      <c r="G27" s="14">
        <v>90</v>
      </c>
      <c r="H27" s="14"/>
      <c r="I27" s="14"/>
      <c r="J27" s="14"/>
      <c r="K27" s="15">
        <v>91</v>
      </c>
      <c r="L27" s="15"/>
      <c r="M27" s="15"/>
      <c r="N27" s="15"/>
      <c r="O27" s="16">
        <f t="shared" si="0"/>
        <v>22.25</v>
      </c>
      <c r="P27" s="16">
        <f t="shared" si="1"/>
        <v>22.5</v>
      </c>
      <c r="Q27" s="17">
        <f t="shared" si="2"/>
        <v>22.75</v>
      </c>
      <c r="R27" s="18">
        <f t="shared" si="3"/>
        <v>22.5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1">
        <v>21</v>
      </c>
      <c r="B28" s="12" t="s">
        <v>38</v>
      </c>
      <c r="C28" s="13">
        <v>91</v>
      </c>
      <c r="D28" s="13"/>
      <c r="E28" s="13"/>
      <c r="F28" s="13"/>
      <c r="G28" s="14">
        <v>92</v>
      </c>
      <c r="H28" s="14"/>
      <c r="I28" s="14"/>
      <c r="J28" s="14"/>
      <c r="K28" s="15">
        <v>93</v>
      </c>
      <c r="L28" s="15"/>
      <c r="M28" s="15"/>
      <c r="N28" s="15"/>
      <c r="O28" s="16">
        <f t="shared" si="0"/>
        <v>22.75</v>
      </c>
      <c r="P28" s="16">
        <f t="shared" si="1"/>
        <v>23</v>
      </c>
      <c r="Q28" s="17">
        <f t="shared" si="2"/>
        <v>23.25</v>
      </c>
      <c r="R28" s="18">
        <f t="shared" si="3"/>
        <v>23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1">
        <v>22</v>
      </c>
      <c r="B29" s="12" t="s">
        <v>39</v>
      </c>
      <c r="C29" s="13">
        <v>66</v>
      </c>
      <c r="D29" s="13"/>
      <c r="E29" s="13"/>
      <c r="F29" s="13"/>
      <c r="G29" s="14">
        <v>67</v>
      </c>
      <c r="H29" s="14"/>
      <c r="I29" s="14"/>
      <c r="J29" s="14"/>
      <c r="K29" s="15">
        <v>66</v>
      </c>
      <c r="L29" s="15"/>
      <c r="M29" s="15"/>
      <c r="N29" s="15"/>
      <c r="O29" s="16">
        <f t="shared" si="0"/>
        <v>16.5</v>
      </c>
      <c r="P29" s="16">
        <f t="shared" si="1"/>
        <v>16.75</v>
      </c>
      <c r="Q29" s="17">
        <f t="shared" si="2"/>
        <v>16.5</v>
      </c>
      <c r="R29" s="18">
        <f t="shared" si="3"/>
        <v>16.583333333333332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1">
        <v>23</v>
      </c>
      <c r="B30" s="12" t="s">
        <v>40</v>
      </c>
      <c r="C30" s="13">
        <v>65</v>
      </c>
      <c r="D30" s="13"/>
      <c r="E30" s="13"/>
      <c r="F30" s="13"/>
      <c r="G30" s="14">
        <v>66</v>
      </c>
      <c r="H30" s="14"/>
      <c r="I30" s="14"/>
      <c r="J30" s="14"/>
      <c r="K30" s="15">
        <v>65</v>
      </c>
      <c r="L30" s="15"/>
      <c r="M30" s="15"/>
      <c r="N30" s="15"/>
      <c r="O30" s="16">
        <f t="shared" si="0"/>
        <v>16.25</v>
      </c>
      <c r="P30" s="16">
        <f t="shared" si="1"/>
        <v>16.5</v>
      </c>
      <c r="Q30" s="17">
        <f t="shared" si="2"/>
        <v>16.25</v>
      </c>
      <c r="R30" s="18">
        <f t="shared" si="3"/>
        <v>16.333333333333332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1">
        <v>24</v>
      </c>
      <c r="B31" s="12" t="s">
        <v>41</v>
      </c>
      <c r="C31" s="13">
        <v>75</v>
      </c>
      <c r="D31" s="13"/>
      <c r="E31" s="13"/>
      <c r="F31" s="13"/>
      <c r="G31" s="14">
        <v>76</v>
      </c>
      <c r="H31" s="14"/>
      <c r="I31" s="14"/>
      <c r="J31" s="14"/>
      <c r="K31" s="15">
        <v>77</v>
      </c>
      <c r="L31" s="15"/>
      <c r="M31" s="15"/>
      <c r="N31" s="15"/>
      <c r="O31" s="16">
        <f t="shared" si="0"/>
        <v>18.75</v>
      </c>
      <c r="P31" s="16">
        <f t="shared" si="1"/>
        <v>19</v>
      </c>
      <c r="Q31" s="17">
        <f t="shared" si="2"/>
        <v>19.25</v>
      </c>
      <c r="R31" s="18">
        <f t="shared" si="3"/>
        <v>19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1">
        <v>25</v>
      </c>
      <c r="B32" s="12" t="s">
        <v>42</v>
      </c>
      <c r="C32" s="13">
        <v>90</v>
      </c>
      <c r="D32" s="13"/>
      <c r="E32" s="13"/>
      <c r="F32" s="13"/>
      <c r="G32" s="14">
        <v>91</v>
      </c>
      <c r="H32" s="14"/>
      <c r="I32" s="14"/>
      <c r="J32" s="14"/>
      <c r="K32" s="15">
        <v>92</v>
      </c>
      <c r="L32" s="15"/>
      <c r="M32" s="15"/>
      <c r="N32" s="15"/>
      <c r="O32" s="16">
        <f t="shared" si="0"/>
        <v>22.5</v>
      </c>
      <c r="P32" s="16">
        <f t="shared" si="1"/>
        <v>22.75</v>
      </c>
      <c r="Q32" s="17">
        <f t="shared" si="2"/>
        <v>23</v>
      </c>
      <c r="R32" s="18">
        <f t="shared" si="3"/>
        <v>22.75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1">
        <v>26</v>
      </c>
      <c r="B33" s="12" t="s">
        <v>43</v>
      </c>
      <c r="C33" s="13">
        <v>97</v>
      </c>
      <c r="D33" s="13"/>
      <c r="E33" s="13"/>
      <c r="F33" s="13"/>
      <c r="G33" s="14">
        <v>96</v>
      </c>
      <c r="H33" s="14"/>
      <c r="I33" s="14"/>
      <c r="J33" s="14"/>
      <c r="K33" s="15">
        <v>98</v>
      </c>
      <c r="L33" s="15"/>
      <c r="M33" s="15"/>
      <c r="N33" s="15"/>
      <c r="O33" s="16">
        <f t="shared" si="0"/>
        <v>24.25</v>
      </c>
      <c r="P33" s="16">
        <f t="shared" si="1"/>
        <v>24</v>
      </c>
      <c r="Q33" s="17">
        <f t="shared" si="2"/>
        <v>24.5</v>
      </c>
      <c r="R33" s="18">
        <f t="shared" si="3"/>
        <v>24.25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1">
        <v>27</v>
      </c>
      <c r="B34" s="12" t="s">
        <v>44</v>
      </c>
      <c r="C34" s="13">
        <v>89</v>
      </c>
      <c r="D34" s="13"/>
      <c r="E34" s="13"/>
      <c r="F34" s="13"/>
      <c r="G34" s="14">
        <v>90</v>
      </c>
      <c r="H34" s="14"/>
      <c r="I34" s="14"/>
      <c r="J34" s="14"/>
      <c r="K34" s="15">
        <v>91</v>
      </c>
      <c r="L34" s="15"/>
      <c r="M34" s="15"/>
      <c r="N34" s="15"/>
      <c r="O34" s="16">
        <f t="shared" si="0"/>
        <v>22.25</v>
      </c>
      <c r="P34" s="16">
        <f t="shared" si="1"/>
        <v>22.5</v>
      </c>
      <c r="Q34" s="17">
        <f t="shared" si="2"/>
        <v>22.75</v>
      </c>
      <c r="R34" s="18">
        <f t="shared" si="3"/>
        <v>22.5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1">
        <v>28</v>
      </c>
      <c r="B35" s="12" t="s">
        <v>45</v>
      </c>
      <c r="C35" s="13">
        <v>92</v>
      </c>
      <c r="D35" s="13"/>
      <c r="E35" s="13"/>
      <c r="F35" s="13"/>
      <c r="G35" s="14">
        <v>91</v>
      </c>
      <c r="H35" s="14"/>
      <c r="I35" s="14"/>
      <c r="J35" s="14"/>
      <c r="K35" s="15">
        <v>92</v>
      </c>
      <c r="L35" s="15"/>
      <c r="M35" s="15"/>
      <c r="N35" s="15"/>
      <c r="O35" s="16">
        <f t="shared" si="0"/>
        <v>23</v>
      </c>
      <c r="P35" s="16">
        <f t="shared" si="1"/>
        <v>22.75</v>
      </c>
      <c r="Q35" s="17">
        <f t="shared" si="2"/>
        <v>23</v>
      </c>
      <c r="R35" s="18">
        <f t="shared" si="3"/>
        <v>22.916666666666668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1">
        <v>29</v>
      </c>
      <c r="B36" s="12" t="s">
        <v>46</v>
      </c>
      <c r="C36" s="13">
        <v>85</v>
      </c>
      <c r="D36" s="13"/>
      <c r="E36" s="13"/>
      <c r="F36" s="13"/>
      <c r="G36" s="14">
        <v>84</v>
      </c>
      <c r="H36" s="14"/>
      <c r="I36" s="14"/>
      <c r="J36" s="14"/>
      <c r="K36" s="15">
        <v>86</v>
      </c>
      <c r="L36" s="15"/>
      <c r="M36" s="15"/>
      <c r="N36" s="15"/>
      <c r="O36" s="16">
        <f t="shared" si="0"/>
        <v>21.25</v>
      </c>
      <c r="P36" s="16">
        <f t="shared" si="1"/>
        <v>21</v>
      </c>
      <c r="Q36" s="17">
        <f t="shared" si="2"/>
        <v>21.5</v>
      </c>
      <c r="R36" s="18">
        <f t="shared" si="3"/>
        <v>21.25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28"/>
      <c r="E37" s="1"/>
      <c r="F37" s="1"/>
    </row>
    <row r="38" spans="1:27" ht="15">
      <c r="A38" s="1"/>
      <c r="B38" s="1"/>
      <c r="C38" s="1"/>
      <c r="D38" s="1"/>
      <c r="E38" s="1"/>
      <c r="F38" s="1"/>
    </row>
    <row r="39" spans="1:27" ht="15">
      <c r="A39" s="1"/>
      <c r="B39" s="1"/>
      <c r="C39" s="1"/>
      <c r="D39" s="1"/>
      <c r="E39" s="1"/>
      <c r="F39" s="1"/>
    </row>
    <row r="40" spans="1:27" ht="15">
      <c r="A40" s="1"/>
      <c r="B40" s="1"/>
      <c r="C40" s="1"/>
      <c r="D40" s="1"/>
      <c r="E40" s="1"/>
      <c r="F40" s="1"/>
    </row>
    <row r="41" spans="1:27" ht="15">
      <c r="A41" s="1"/>
      <c r="B41" s="1"/>
      <c r="C41" s="1"/>
      <c r="D41" s="1"/>
      <c r="E41" s="1"/>
      <c r="F41" s="1"/>
    </row>
    <row r="42" spans="1:27" ht="15">
      <c r="A42" s="1"/>
      <c r="B42" s="1"/>
      <c r="C42" s="1"/>
      <c r="D42" s="1"/>
      <c r="E42" s="1"/>
      <c r="F42" s="1"/>
    </row>
    <row r="43" spans="1:27" ht="15">
      <c r="A43" s="1"/>
      <c r="B43" s="1"/>
      <c r="C43" s="1"/>
      <c r="D43" s="1"/>
      <c r="E43" s="1"/>
      <c r="F43" s="1"/>
    </row>
    <row r="44" spans="1:27" ht="15">
      <c r="A44" s="1"/>
      <c r="B44" s="1"/>
      <c r="C44" s="1"/>
      <c r="D44" s="1"/>
      <c r="E44" s="1"/>
      <c r="F44" s="1"/>
    </row>
    <row r="45" spans="1:27" ht="15">
      <c r="A45" s="1"/>
      <c r="B45" s="1"/>
      <c r="C45" s="1"/>
      <c r="D45" s="1"/>
      <c r="E45" s="1"/>
      <c r="F45" s="1"/>
    </row>
    <row r="46" spans="1:27" ht="15">
      <c r="A46" s="1"/>
      <c r="B46" s="1"/>
      <c r="C46" s="1"/>
      <c r="D46" s="1"/>
      <c r="E46" s="1"/>
      <c r="F46" s="1"/>
    </row>
    <row r="47" spans="1:27" ht="15">
      <c r="A47" s="1"/>
      <c r="B47" s="1"/>
      <c r="C47" s="1"/>
      <c r="D47" s="1"/>
      <c r="E47" s="1"/>
      <c r="F47" s="1"/>
    </row>
    <row r="48" spans="1:27" ht="15">
      <c r="A48" s="1"/>
      <c r="B48" s="1"/>
      <c r="C48" s="1"/>
      <c r="D48" s="1"/>
      <c r="E48" s="1"/>
      <c r="F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8">
    <mergeCell ref="A1:A7"/>
    <mergeCell ref="B1:B7"/>
    <mergeCell ref="R1:R7"/>
    <mergeCell ref="O5:Q6"/>
    <mergeCell ref="K5:N6"/>
    <mergeCell ref="G5:J6"/>
    <mergeCell ref="C5:F6"/>
    <mergeCell ref="C1:Q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111F-5571-43DB-8E8C-B1AFBA616FFC}">
  <dimension ref="A1:F41"/>
  <sheetViews>
    <sheetView workbookViewId="0">
      <selection activeCell="D25" sqref="D25"/>
    </sheetView>
  </sheetViews>
  <sheetFormatPr baseColWidth="10" defaultRowHeight="12.75"/>
  <cols>
    <col min="1" max="1" width="7.42578125" bestFit="1" customWidth="1"/>
    <col min="2" max="2" width="53.85546875" customWidth="1"/>
    <col min="3" max="3" width="13" customWidth="1"/>
    <col min="4" max="4" width="41" bestFit="1" customWidth="1"/>
  </cols>
  <sheetData>
    <row r="1" spans="1:6">
      <c r="A1" s="34" t="s">
        <v>0</v>
      </c>
      <c r="B1" s="34" t="s">
        <v>49</v>
      </c>
      <c r="C1" s="34" t="s">
        <v>50</v>
      </c>
      <c r="D1" s="34" t="s">
        <v>51</v>
      </c>
      <c r="E1" s="34" t="s">
        <v>52</v>
      </c>
      <c r="F1" s="34" t="s">
        <v>53</v>
      </c>
    </row>
    <row r="2" spans="1:6" ht="15">
      <c r="A2" s="34">
        <v>1</v>
      </c>
      <c r="B2" s="36" t="s">
        <v>81</v>
      </c>
      <c r="C2" s="37">
        <v>35568936</v>
      </c>
    </row>
    <row r="3" spans="1:6" ht="15">
      <c r="A3" s="34">
        <v>2</v>
      </c>
      <c r="B3" s="38" t="s">
        <v>54</v>
      </c>
      <c r="C3" s="37">
        <v>35922624</v>
      </c>
    </row>
    <row r="4" spans="1:6" ht="15">
      <c r="A4" s="34">
        <v>3</v>
      </c>
      <c r="B4" s="38" t="s">
        <v>55</v>
      </c>
      <c r="C4" s="37">
        <v>36242395</v>
      </c>
    </row>
    <row r="5" spans="1:6" ht="15">
      <c r="A5" s="34">
        <v>4</v>
      </c>
      <c r="B5" s="38" t="s">
        <v>56</v>
      </c>
      <c r="C5" s="37">
        <v>35585852</v>
      </c>
    </row>
    <row r="6" spans="1:6" ht="15">
      <c r="A6" s="34">
        <v>5</v>
      </c>
      <c r="B6" s="38" t="s">
        <v>57</v>
      </c>
      <c r="C6" s="37">
        <v>36442625</v>
      </c>
    </row>
    <row r="7" spans="1:6" ht="15">
      <c r="A7" s="34">
        <v>6</v>
      </c>
      <c r="B7" s="38" t="s">
        <v>58</v>
      </c>
      <c r="C7" s="37">
        <v>37282188</v>
      </c>
    </row>
    <row r="8" spans="1:6" ht="15">
      <c r="A8" s="34">
        <v>7</v>
      </c>
      <c r="B8" s="38" t="s">
        <v>59</v>
      </c>
      <c r="C8" s="37">
        <v>35616068</v>
      </c>
    </row>
    <row r="9" spans="1:6" ht="15">
      <c r="A9" s="34">
        <v>8</v>
      </c>
      <c r="B9" s="38" t="s">
        <v>60</v>
      </c>
      <c r="C9" s="37">
        <v>35922365</v>
      </c>
    </row>
    <row r="10" spans="1:6" ht="15">
      <c r="A10" s="34">
        <v>9</v>
      </c>
      <c r="B10" s="38" t="s">
        <v>61</v>
      </c>
      <c r="C10" s="37">
        <v>35616238</v>
      </c>
    </row>
    <row r="11" spans="1:6" ht="15">
      <c r="A11" s="34">
        <v>10</v>
      </c>
      <c r="B11" s="38" t="s">
        <v>62</v>
      </c>
      <c r="C11" s="37">
        <v>35602539</v>
      </c>
    </row>
    <row r="12" spans="1:6" ht="15">
      <c r="A12" s="34">
        <v>11</v>
      </c>
      <c r="B12" s="38" t="s">
        <v>63</v>
      </c>
      <c r="C12" s="37">
        <v>35608063</v>
      </c>
    </row>
    <row r="13" spans="1:6" ht="15">
      <c r="A13" s="34">
        <v>12</v>
      </c>
      <c r="B13" s="38" t="s">
        <v>64</v>
      </c>
      <c r="C13" s="37">
        <v>36304027</v>
      </c>
    </row>
    <row r="14" spans="1:6" ht="15">
      <c r="A14" s="34">
        <v>13</v>
      </c>
      <c r="B14" s="38" t="s">
        <v>65</v>
      </c>
      <c r="C14" s="37">
        <v>36480979</v>
      </c>
    </row>
    <row r="15" spans="1:6" ht="15">
      <c r="A15" s="34">
        <v>14</v>
      </c>
      <c r="B15" s="38" t="s">
        <v>66</v>
      </c>
      <c r="C15" s="37">
        <v>35603690</v>
      </c>
    </row>
    <row r="16" spans="1:6" ht="15">
      <c r="A16" s="34">
        <v>15</v>
      </c>
      <c r="B16" s="38" t="s">
        <v>67</v>
      </c>
      <c r="C16" s="37">
        <v>35601028</v>
      </c>
    </row>
    <row r="17" spans="1:3" ht="15">
      <c r="A17" s="34">
        <v>16</v>
      </c>
      <c r="B17" s="38" t="s">
        <v>68</v>
      </c>
      <c r="C17" s="37">
        <v>35828605</v>
      </c>
    </row>
    <row r="18" spans="1:3" ht="15">
      <c r="A18" s="34">
        <v>17</v>
      </c>
      <c r="B18" s="38" t="s">
        <v>69</v>
      </c>
      <c r="C18" s="37">
        <v>35612664</v>
      </c>
    </row>
    <row r="19" spans="1:3" ht="15">
      <c r="A19" s="34">
        <v>18</v>
      </c>
      <c r="B19" s="35" t="s">
        <v>82</v>
      </c>
      <c r="C19" s="39">
        <v>35802521</v>
      </c>
    </row>
    <row r="20" spans="1:3" ht="15">
      <c r="A20" s="34">
        <v>19</v>
      </c>
      <c r="B20" s="38" t="s">
        <v>70</v>
      </c>
      <c r="C20" s="37">
        <v>35617228</v>
      </c>
    </row>
    <row r="21" spans="1:3" ht="15">
      <c r="A21" s="34">
        <v>20</v>
      </c>
      <c r="B21" s="38" t="s">
        <v>71</v>
      </c>
      <c r="C21" s="37">
        <v>36403483</v>
      </c>
    </row>
    <row r="22" spans="1:3" ht="15">
      <c r="A22" s="34">
        <v>21</v>
      </c>
      <c r="B22" s="38" t="s">
        <v>72</v>
      </c>
      <c r="C22" s="37">
        <v>36306351</v>
      </c>
    </row>
    <row r="23" spans="1:3" ht="15">
      <c r="A23" s="34">
        <v>22</v>
      </c>
      <c r="B23" s="38" t="s">
        <v>73</v>
      </c>
      <c r="C23" s="37">
        <v>36273023</v>
      </c>
    </row>
    <row r="24" spans="1:3" ht="15">
      <c r="A24" s="34">
        <v>23</v>
      </c>
      <c r="B24" s="38" t="s">
        <v>74</v>
      </c>
      <c r="C24" s="37">
        <v>35579356</v>
      </c>
    </row>
    <row r="25" spans="1:3" ht="15">
      <c r="A25" s="34">
        <v>24</v>
      </c>
      <c r="B25" s="38" t="s">
        <v>75</v>
      </c>
      <c r="C25" s="37">
        <v>33858999</v>
      </c>
    </row>
    <row r="26" spans="1:3" ht="15">
      <c r="A26" s="34">
        <v>25</v>
      </c>
      <c r="B26" s="38" t="s">
        <v>76</v>
      </c>
      <c r="C26" s="37">
        <v>35619340</v>
      </c>
    </row>
    <row r="27" spans="1:3" ht="15">
      <c r="A27" s="34">
        <v>26</v>
      </c>
      <c r="B27" s="38" t="s">
        <v>77</v>
      </c>
      <c r="C27" s="37">
        <v>35615697</v>
      </c>
    </row>
    <row r="28" spans="1:3" ht="15">
      <c r="A28" s="34">
        <v>27</v>
      </c>
      <c r="B28" s="38" t="s">
        <v>78</v>
      </c>
      <c r="C28" s="37">
        <v>37222489</v>
      </c>
    </row>
    <row r="29" spans="1:3" ht="15">
      <c r="A29" s="34">
        <v>28</v>
      </c>
      <c r="B29" s="38" t="s">
        <v>79</v>
      </c>
      <c r="C29" s="37">
        <v>33740853</v>
      </c>
    </row>
    <row r="30" spans="1:3" ht="15">
      <c r="A30" s="34">
        <v>29</v>
      </c>
      <c r="B30" s="38" t="s">
        <v>80</v>
      </c>
      <c r="C30" s="37">
        <v>35619958</v>
      </c>
    </row>
    <row r="31" spans="1:3">
      <c r="A31" s="34">
        <v>30</v>
      </c>
    </row>
    <row r="32" spans="1:3">
      <c r="A32" s="34">
        <v>31</v>
      </c>
    </row>
    <row r="33" spans="1:1">
      <c r="A33" s="34">
        <v>32</v>
      </c>
    </row>
    <row r="34" spans="1:1">
      <c r="A34" s="34">
        <v>33</v>
      </c>
    </row>
    <row r="35" spans="1:1">
      <c r="A35" s="34">
        <v>34</v>
      </c>
    </row>
    <row r="36" spans="1:1">
      <c r="A36" s="34">
        <v>35</v>
      </c>
    </row>
    <row r="37" spans="1:1">
      <c r="A37" s="34">
        <v>36</v>
      </c>
    </row>
    <row r="38" spans="1:1">
      <c r="A38" s="34">
        <v>37</v>
      </c>
    </row>
    <row r="39" spans="1:1">
      <c r="A39" s="34">
        <v>38</v>
      </c>
    </row>
    <row r="40" spans="1:1">
      <c r="A40" s="34">
        <v>39</v>
      </c>
    </row>
    <row r="41" spans="1:1">
      <c r="A41" s="3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LENGUA ESPAÑOLA</vt:lpstr>
      <vt:lpstr>MATEMÁTICA</vt:lpstr>
      <vt:lpstr>CIENCIAS SOCIALES</vt:lpstr>
      <vt:lpstr>CIENCIAS NATURALES</vt:lpstr>
      <vt:lpstr>EDUCACIÓN FÍSICA</vt:lpstr>
      <vt:lpstr>FORMACIÓN HUMANA</vt:lpstr>
      <vt:lpstr>EDUCACIÓN ARTÍSTICA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Francisco Moreta Rodriguez</cp:lastModifiedBy>
  <dcterms:modified xsi:type="dcterms:W3CDTF">2025-12-12T12:07:43Z</dcterms:modified>
</cp:coreProperties>
</file>